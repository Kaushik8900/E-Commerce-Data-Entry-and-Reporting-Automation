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kaush\Downloads\"/>
    </mc:Choice>
  </mc:AlternateContent>
  <bookViews>
    <workbookView xWindow="0" yWindow="0" windowWidth="23040" windowHeight="9264" activeTab="3"/>
  </bookViews>
  <sheets>
    <sheet name="Raw Data" sheetId="1" r:id="rId1"/>
    <sheet name="Cleaned Data" sheetId="2" r:id="rId2"/>
    <sheet name="Analysis" sheetId="3" r:id="rId3"/>
    <sheet name="Dashboard" sheetId="4" r:id="rId4"/>
  </sheets>
  <definedNames>
    <definedName name="_xlnm._FilterDatabase" localSheetId="0" hidden="1">'Raw Data'!$A$1:$J$101</definedName>
    <definedName name="Slicer_Product_Category">#N/A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0" i="2" l="1"/>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18" i="2"/>
  <c r="K19" i="2"/>
  <c r="K20" i="2"/>
  <c r="K21" i="2"/>
  <c r="K22" i="2"/>
  <c r="K23" i="2"/>
  <c r="K24" i="2"/>
  <c r="K25" i="2"/>
  <c r="K26" i="2"/>
  <c r="K27" i="2"/>
  <c r="K28" i="2"/>
  <c r="K29" i="2"/>
  <c r="K3" i="2"/>
  <c r="K4" i="2"/>
  <c r="K5" i="2"/>
  <c r="K6" i="2"/>
  <c r="K7" i="2"/>
  <c r="K8" i="2"/>
  <c r="K9" i="2"/>
  <c r="K10" i="2"/>
  <c r="K11" i="2"/>
  <c r="K12" i="2"/>
  <c r="K13" i="2"/>
  <c r="K14" i="2"/>
  <c r="K15" i="2"/>
  <c r="K16" i="2"/>
  <c r="K17" i="2"/>
  <c r="K2" i="2"/>
  <c r="I20" i="2"/>
  <c r="I29" i="2"/>
  <c r="I46" i="2"/>
  <c r="I50" i="2"/>
  <c r="I55" i="2"/>
  <c r="I58" i="2"/>
  <c r="I61" i="2"/>
  <c r="I62" i="2"/>
  <c r="I87" i="2"/>
  <c r="I90" i="2"/>
  <c r="E2" i="3"/>
</calcChain>
</file>

<file path=xl/sharedStrings.xml><?xml version="1.0" encoding="utf-8"?>
<sst xmlns="http://schemas.openxmlformats.org/spreadsheetml/2006/main" count="1246" uniqueCount="205">
  <si>
    <t>Order_ID</t>
  </si>
  <si>
    <t>Customer_ID</t>
  </si>
  <si>
    <t>Product_Category</t>
  </si>
  <si>
    <t>Product_Price</t>
  </si>
  <si>
    <t>Quantity</t>
  </si>
  <si>
    <t>Payment_Method</t>
  </si>
  <si>
    <t>Order_Date</t>
  </si>
  <si>
    <t>Customer_Country</t>
  </si>
  <si>
    <t>Rating</t>
  </si>
  <si>
    <t>Shipment_Status</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</si>
  <si>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</si>
  <si>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</si>
  <si>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</si>
  <si>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</si>
  <si>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</si>
  <si>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</si>
  <si>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</si>
  <si>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</si>
  <si>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</si>
  <si>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</si>
  <si>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</si>
  <si>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</si>
  <si>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</si>
  <si>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</si>
  <si>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</si>
  <si>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</si>
  <si>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</si>
  <si>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</si>
  <si>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</si>
  <si>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</si>
  <si>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</si>
  <si>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</si>
  <si>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</si>
  <si>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</si>
  <si>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</si>
  <si>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</si>
  <si>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</si>
  <si>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</si>
  <si>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</si>
  <si>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</si>
  <si>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</si>
  <si>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</si>
  <si>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</si>
  <si>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</si>
  <si>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</si>
  <si>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</si>
  <si>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</si>
  <si>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</si>
  <si>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</si>
  <si>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</si>
  <si>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</si>
  <si>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</si>
  <si>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</si>
  <si>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</si>
  <si>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</si>
  <si>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</si>
  <si>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</si>
  <si>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</si>
  <si>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</si>
  <si>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</si>
  <si>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</si>
  <si>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</si>
  <si>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</si>
  <si>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</si>
  <si>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</si>
  <si>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</si>
  <si>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</si>
  <si>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</si>
  <si>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</si>
  <si>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</si>
  <si>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</si>
  <si>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</si>
  <si>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</si>
  <si>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</si>
  <si>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</si>
  <si>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</si>
  <si>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</si>
  <si>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</si>
  <si>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</si>
  <si>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</si>
  <si>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</si>
  <si>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</si>
  <si>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</si>
  <si>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</si>
  <si>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</si>
  <si>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</si>
  <si>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</si>
  <si>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</si>
  <si>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</si>
  <si>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</si>
  <si>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</si>
  <si>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</si>
  <si>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</si>
  <si>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</si>
  <si>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</si>
  <si>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</si>
  <si>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</si>
  <si>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</si>
  <si>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</si>
  <si>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</si>
  <si>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</si>
  <si>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</si>
  <si>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</si>
  <si>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</si>
  <si>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</si>
  <si>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</si>
  <si>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</si>
  <si>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</si>
  <si>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</si>
  <si>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</si>
  <si>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CUST25</t>
  </si>
  <si>
    <t>CUST49</t>
  </si>
  <si>
    <t>CUST18</t>
  </si>
  <si>
    <t>CUST11</t>
  </si>
  <si>
    <t>CUST30</t>
  </si>
  <si>
    <t>CUST37</t>
  </si>
  <si>
    <t>CUST26</t>
  </si>
  <si>
    <t>CUST9</t>
  </si>
  <si>
    <t>CUST32</t>
  </si>
  <si>
    <t>CUST34</t>
  </si>
  <si>
    <t>CUST21</t>
  </si>
  <si>
    <t>CUST8</t>
  </si>
  <si>
    <t>CUST31</t>
  </si>
  <si>
    <t>CUST39</t>
  </si>
  <si>
    <t>CUST3</t>
  </si>
  <si>
    <t>CUST15</t>
  </si>
  <si>
    <t>CUST23</t>
  </si>
  <si>
    <t>CUST14</t>
  </si>
  <si>
    <t>CUST17</t>
  </si>
  <si>
    <t>CUST22</t>
  </si>
  <si>
    <t>CUST19</t>
  </si>
  <si>
    <t>CUST4</t>
  </si>
  <si>
    <t>CUST36</t>
  </si>
  <si>
    <t>CUST1</t>
  </si>
  <si>
    <t>CUST38</t>
  </si>
  <si>
    <t>CUST16</t>
  </si>
  <si>
    <t>CUST46</t>
  </si>
  <si>
    <t>CUST12</t>
  </si>
  <si>
    <t>CUST50</t>
  </si>
  <si>
    <t>CUST33</t>
  </si>
  <si>
    <t>CUST6</t>
  </si>
  <si>
    <t>CUST41</t>
  </si>
  <si>
    <t>CUST35</t>
  </si>
  <si>
    <t>CUST13</t>
  </si>
  <si>
    <t>CUST27</t>
  </si>
  <si>
    <t>CUST44</t>
  </si>
  <si>
    <t>CUST48</t>
  </si>
  <si>
    <t>CUST29</t>
  </si>
  <si>
    <t>CUST7</t>
  </si>
  <si>
    <t>CUST45</t>
  </si>
  <si>
    <t>CUST5</t>
  </si>
  <si>
    <t>CUST10</t>
  </si>
  <si>
    <t>CUST40</t>
  </si>
  <si>
    <t>CUST24</t>
  </si>
  <si>
    <t>CUST20</t>
  </si>
  <si>
    <t>CUST42</t>
  </si>
  <si>
    <t>Home Decor</t>
  </si>
  <si>
    <t>Clothing</t>
  </si>
  <si>
    <t>Sports</t>
  </si>
  <si>
    <t>Beauty</t>
  </si>
  <si>
    <t>Books</t>
  </si>
  <si>
    <t>Electronics</t>
  </si>
  <si>
    <t>Wallet</t>
  </si>
  <si>
    <t>Cash on Delivery</t>
  </si>
  <si>
    <t>Debit Card</t>
  </si>
  <si>
    <t>UPI</t>
  </si>
  <si>
    <t>Credit Card</t>
  </si>
  <si>
    <t>Canada</t>
  </si>
  <si>
    <t>India</t>
  </si>
  <si>
    <t>Australia</t>
  </si>
  <si>
    <t>Germany</t>
  </si>
  <si>
    <t>USA</t>
  </si>
  <si>
    <t>UK</t>
  </si>
  <si>
    <t>Delivered</t>
  </si>
  <si>
    <t>Pending</t>
  </si>
  <si>
    <t>Returned</t>
  </si>
  <si>
    <t>Cancelled</t>
  </si>
  <si>
    <t>Unknown</t>
  </si>
  <si>
    <t>Total_Sales</t>
  </si>
  <si>
    <t>Sum of Total_Sales</t>
  </si>
  <si>
    <t>Row Labels</t>
  </si>
  <si>
    <t>Grand Total</t>
  </si>
  <si>
    <t>Count of Order_ID</t>
  </si>
  <si>
    <t>Sum of Quantity</t>
  </si>
  <si>
    <t>AOV</t>
  </si>
  <si>
    <t>Sum of Rating</t>
  </si>
  <si>
    <t>2024</t>
  </si>
  <si>
    <t>Jan</t>
  </si>
  <si>
    <t>Feb</t>
  </si>
  <si>
    <t>Mar</t>
  </si>
  <si>
    <t>Apr</t>
  </si>
  <si>
    <t>May</t>
  </si>
  <si>
    <t>Jun</t>
  </si>
  <si>
    <t>Jul</t>
  </si>
  <si>
    <t>Aug</t>
  </si>
  <si>
    <t>Sep</t>
  </si>
  <si>
    <t>Oct</t>
  </si>
  <si>
    <t>Nov</t>
  </si>
  <si>
    <t>Dec</t>
  </si>
  <si>
    <t xml:space="preserve">B2:C3   → Total Sales
D2:E3   → Total Orders
F2:G3   → AOV
H2:I3   → Avg Rating
</t>
  </si>
  <si>
    <t xml:space="preserve"> </t>
  </si>
  <si>
    <t>Sales peak during specific months, indicating seasonality</t>
  </si>
  <si>
    <t>The USA contributes the highest share of total sales</t>
  </si>
  <si>
    <t>Cash on Delivery is the most preferred payment method</t>
  </si>
  <si>
    <t>Home Decor emerges as the top-performing category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</si>
</sst>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h:mm:ss"/>
    <numFmt numFmtId="165" formatCode="&quot;₹&quot;\ #,##0.00"/>
    <numFmt numFmtId="166" formatCode="0.0"/>
    <numFmt numFmtId="167"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64" fontId="0" fillId="0" borderId="0" xfId="0" applyNumberFormat="1" applyAlignment="1">
      <alignment horizontal="left" indent="1"/>
    </xf>
    <xf numFmtId="0" fontId="0" fillId="0" borderId="0" xfId="0" applyAlignment="1">
      <alignment wrapText="1"/>
    </xf>
    <xf numFmtId="167" fontId="0" fillId="0" borderId="0" xfId="0" applyNumberForma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[Ecommerce_Data_Cleaning_Project.xlsx]Analysis!PivotTable7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Analysis!$A$4:$A$10</c:f>
              <c:strCache>
                <c:ptCount val="6"/>
                <c:pt idx="0">
                  <c:v>Home Decor</c:v>
                </c:pt>
                <c:pt idx="1">
                  <c:v>Books</c:v>
                </c:pt>
                <c:pt idx="2">
                  <c:v>Electronics</c:v>
                </c:pt>
                <c:pt idx="3">
                  <c:v>Clothing</c:v>
                </c:pt>
                <c:pt idx="4">
                  <c:v>Sports</c:v>
                </c:pt>
                <c:pt idx="5">
                  <c:v>Beauty</c:v>
                </c:pt>
              </c:strCache>
            </c:strRef>
          </c:cat>
          <c:val>
            <c:numRef>
              <c:f>Analysis!$B$4:$B$10</c:f>
              <c:numCache>
                <c:formatCode>"₹"\ #,##0</c:formatCode>
                <c:ptCount val="6"/>
                <c:pt idx="0">
                  <c:v>49918.03</c:v>
                </c:pt>
                <c:pt idx="1">
                  <c:v>47140.93</c:v>
                </c:pt>
                <c:pt idx="2">
                  <c:v>44022.079999999994</c:v>
                </c:pt>
                <c:pt idx="3">
                  <c:v>43388.479999999996</c:v>
                </c:pt>
                <c:pt idx="4">
                  <c:v>25997.9</c:v>
                </c:pt>
                <c:pt idx="5">
                  <c:v>20325.72</c:v>
                </c:pt>
              </c:numCache>
            </c:numRef>
          </c:val>
        </c:ser>
        <c:dLbls>
          <c:showLegendKey val="0"/>
          <c:showVal val="0"/>
          <c:showCatName val="0"/>
          <c:showSerName val="0"/>
          <c:showPercent val="0"/>
          <c:showBubbleSize val="0"/>
        </c:dLbls>
        <c:gapWidth val="182"/>
        <c:axId val="312126848"/>
        <c:axId val="312120576"/>
      </c:barChart>
      <c:catAx>
        <c:axId val="31212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0576"/>
        <c:crosses val="autoZero"/>
        <c:auto val="1"/>
        <c:lblAlgn val="ctr"/>
        <c:lblOffset val="100"/>
        <c:noMultiLvlLbl val="0"/>
      </c:catAx>
      <c:valAx>
        <c:axId val="3121205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6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Analysis!$D$3</c:f>
              <c:strCache>
                <c:ptCount val="1"/>
                <c:pt idx="0">
                  <c:v>Total</c:v>
                </c:pt>
              </c:strCache>
            </c:strRef>
          </c:tx>
          <c:spPr>
            <a:solidFill>
              <a:schemeClr val="accent1"/>
            </a:solidFill>
            <a:ln>
              <a:noFill/>
            </a:ln>
            <a:effectLst/>
          </c:spPr>
          <c:invertIfNegative val="0"/>
          <c:cat>
            <c:strRef>
              <c:f>Analysis!$C$4:$C$10</c:f>
              <c:strCache>
                <c:ptCount val="6"/>
                <c:pt idx="0">
                  <c:v>Australia</c:v>
                </c:pt>
                <c:pt idx="1">
                  <c:v>Canada</c:v>
                </c:pt>
                <c:pt idx="2">
                  <c:v>Germany</c:v>
                </c:pt>
                <c:pt idx="3">
                  <c:v>India</c:v>
                </c:pt>
                <c:pt idx="4">
                  <c:v>UK</c:v>
                </c:pt>
                <c:pt idx="5">
                  <c:v>USA</c:v>
                </c:pt>
              </c:strCache>
            </c:strRef>
          </c:cat>
          <c:val>
            <c:numRef>
              <c:f>Analysis!$D$4:$D$10</c:f>
              <c:numCache>
                <c:formatCode>"₹"\ #,##0</c:formatCode>
                <c:ptCount val="6"/>
                <c:pt idx="0">
                  <c:v>26617.430000000004</c:v>
                </c:pt>
                <c:pt idx="1">
                  <c:v>39659.289999999994</c:v>
                </c:pt>
                <c:pt idx="2">
                  <c:v>34532.49</c:v>
                </c:pt>
                <c:pt idx="3">
                  <c:v>43354.87</c:v>
                </c:pt>
                <c:pt idx="4">
                  <c:v>38486.879999999997</c:v>
                </c:pt>
                <c:pt idx="5">
                  <c:v>48142.179999999993</c:v>
                </c:pt>
              </c:numCache>
            </c:numRef>
          </c:val>
        </c:ser>
        <c:dLbls>
          <c:showLegendKey val="0"/>
          <c:showVal val="0"/>
          <c:showCatName val="0"/>
          <c:showSerName val="0"/>
          <c:showPercent val="0"/>
          <c:showBubbleSize val="0"/>
        </c:dLbls>
        <c:gapWidth val="182"/>
        <c:axId val="312121752"/>
        <c:axId val="312121360"/>
      </c:barChart>
      <c:catAx>
        <c:axId val="31212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1360"/>
        <c:crosses val="autoZero"/>
        <c:auto val="1"/>
        <c:lblAlgn val="ctr"/>
        <c:lblOffset val="100"/>
        <c:noMultiLvlLbl val="0"/>
      </c:catAx>
      <c:valAx>
        <c:axId val="3121213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1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[Ecommerce_Data_Cleaning_Project.xlsx]Analysis!PivotTable9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Analysis!$F$3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Analysis!$E$4:$E$10</c:f>
              <c:strCache>
                <c:ptCount val="6"/>
                <c:pt idx="0">
                  <c:v>Cash on Delivery</c:v>
                </c:pt>
                <c:pt idx="1">
                  <c:v>Credit Card</c:v>
                </c:pt>
                <c:pt idx="2">
                  <c:v>Debit Card</c:v>
                </c:pt>
                <c:pt idx="3">
                  <c:v>Unknown</c:v>
                </c:pt>
                <c:pt idx="4">
                  <c:v>UPI</c:v>
                </c:pt>
                <c:pt idx="5">
                  <c:v>Wallet</c:v>
                </c:pt>
              </c:strCache>
            </c:strRef>
          </c:cat>
          <c:val>
            <c:numRef>
              <c:f>Analysis!$F$4:$F$10</c:f>
              <c:numCache>
                <c:formatCode>General</c:formatCode>
                <c:ptCount val="6"/>
                <c:pt idx="0">
                  <c:v>25</c:v>
                </c:pt>
                <c:pt idx="1">
                  <c:v>21</c:v>
                </c:pt>
                <c:pt idx="2">
                  <c:v>14</c:v>
                </c:pt>
                <c:pt idx="3">
                  <c:v>5</c:v>
                </c:pt>
                <c:pt idx="4">
                  <c:v>13</c:v>
                </c:pt>
                <c:pt idx="5">
                  <c:v>17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[Ecommerce_Data_Cleaning_Project.xlsx]Analysis!PivotTable10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Shipment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204037151216447"/>
          <c:y val="0.11775353601633128"/>
          <c:w val="0.85465862901800616"/>
          <c:h val="0.76887193788276464"/>
        </c:manualLayout>
      </c:layout>
      <c:barChart>
        <c:barDir val="col"/>
        <c:grouping val="clustered"/>
        <c:varyColors val="0"/>
        <c:ser>
          <c:idx val="0"/>
          <c:order val="0"/>
          <c:tx>
            <c:strRef>
              <c:f>Analysis!$H$3</c:f>
              <c:strCache>
                <c:ptCount val="1"/>
                <c:pt idx="0">
                  <c:v>Total</c:v>
                </c:pt>
              </c:strCache>
            </c:strRef>
          </c:tx>
          <c:spPr>
            <a:solidFill>
              <a:schemeClr val="accent1"/>
            </a:solidFill>
            <a:ln>
              <a:noFill/>
            </a:ln>
            <a:effectLst/>
          </c:spPr>
          <c:invertIfNegative val="0"/>
          <c:cat>
            <c:strRef>
              <c:f>Analysis!$G$4:$G$8</c:f>
              <c:strCache>
                <c:ptCount val="4"/>
                <c:pt idx="0">
                  <c:v>Cancelled</c:v>
                </c:pt>
                <c:pt idx="1">
                  <c:v>Delivered</c:v>
                </c:pt>
                <c:pt idx="2">
                  <c:v>Pending</c:v>
                </c:pt>
                <c:pt idx="3">
                  <c:v>Returned</c:v>
                </c:pt>
              </c:strCache>
            </c:strRef>
          </c:cat>
          <c:val>
            <c:numRef>
              <c:f>Analysis!$H$4:$H$8</c:f>
              <c:numCache>
                <c:formatCode>General</c:formatCode>
                <c:ptCount val="4"/>
                <c:pt idx="0">
                  <c:v>20</c:v>
                </c:pt>
                <c:pt idx="1">
                  <c:v>24</c:v>
                </c:pt>
                <c:pt idx="2">
                  <c:v>25</c:v>
                </c:pt>
                <c:pt idx="3">
                  <c:v>26</c:v>
                </c:pt>
              </c:numCache>
            </c:numRef>
          </c:val>
        </c:ser>
        <c:dLbls>
          <c:showLegendKey val="0"/>
          <c:showVal val="0"/>
          <c:showCatName val="0"/>
          <c:showSerName val="0"/>
          <c:showPercent val="0"/>
          <c:showBubbleSize val="0"/>
        </c:dLbls>
        <c:gapWidth val="219"/>
        <c:overlap val="-27"/>
        <c:axId val="312126064"/>
        <c:axId val="312127632"/>
      </c:barChart>
      <c:catAx>
        <c:axId val="3121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7632"/>
        <c:crosses val="autoZero"/>
        <c:auto val="1"/>
        <c:lblAlgn val="ctr"/>
        <c:lblOffset val="100"/>
        <c:noMultiLvlLbl val="0"/>
      </c:catAx>
      <c:valAx>
        <c:axId val="31212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6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[Ecommerce_Data_Cleaning_Project.xlsx]Analysis!PivotTable11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Analysis!$J$3</c:f>
              <c:strCache>
                <c:ptCount val="1"/>
                <c:pt idx="0">
                  <c:v>Total</c:v>
                </c:pt>
              </c:strCache>
            </c:strRef>
          </c:tx>
          <c:spPr>
            <a:ln w="28575" cap="rnd">
              <a:solidFill>
                <a:schemeClr val="accent1"/>
              </a:solidFill>
              <a:round/>
            </a:ln>
            <a:effectLst/>
          </c:spPr>
          <c:marker>
            <c:symbol val="none"/>
          </c:marker>
          <c:cat>
            <c:multiLvlStrRef>
              <c:f>Analysis!$I$4:$I$17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Analysis!$J$4:$J$17</c:f>
              <c:numCache>
                <c:formatCode>"₹"\ #,##0</c:formatCode>
                <c:ptCount val="12"/>
                <c:pt idx="0">
                  <c:v>4703.87</c:v>
                </c:pt>
                <c:pt idx="1">
                  <c:v>17859.59</c:v>
                </c:pt>
                <c:pt idx="2">
                  <c:v>7236.6299999999992</c:v>
                </c:pt>
                <c:pt idx="3">
                  <c:v>22221.870000000003</c:v>
                </c:pt>
                <c:pt idx="4">
                  <c:v>37227.470000000008</c:v>
                </c:pt>
                <c:pt idx="5">
                  <c:v>17326.63</c:v>
                </c:pt>
                <c:pt idx="6">
                  <c:v>37632.449999999997</c:v>
                </c:pt>
                <c:pt idx="7">
                  <c:v>9715.0399999999991</c:v>
                </c:pt>
                <c:pt idx="8">
                  <c:v>21078.7</c:v>
                </c:pt>
                <c:pt idx="9">
                  <c:v>18485.68</c:v>
                </c:pt>
                <c:pt idx="10">
                  <c:v>8798.66</c:v>
                </c:pt>
                <c:pt idx="11">
                  <c:v>28506.550000000003</c:v>
                </c:pt>
              </c:numCache>
            </c:numRef>
          </c:val>
          <c:smooth val="0"/>
        </c:ser>
        <c:dLbls>
          <c:showLegendKey val="0"/>
          <c:showVal val="0"/>
          <c:showCatName val="0"/>
          <c:showSerName val="0"/>
          <c:showPercent val="0"/>
          <c:showBubbleSize val="0"/>
        </c:dLbls>
        <c:smooth val="0"/>
        <c:axId val="312123320"/>
        <c:axId val="312123712"/>
      </c:lineChart>
      <c:catAx>
        <c:axId val="31212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3712"/>
        <c:crosses val="autoZero"/>
        <c:auto val="1"/>
        <c:lblAlgn val="ctr"/>
        <c:lblOffset val="100"/>
        <c:noMultiLvlLbl val="0"/>
      </c:catAx>
      <c:valAx>
        <c:axId val="312123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23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236220</xdr:colOff>
      <xdr:row>2</xdr:row>
      <xdr:rowOff>0</xdr:rowOff>
    </xdr:from>
    <xdr:to>
      <xdr:col>17</xdr:col>
      <xdr:colOff>495300</xdr:colOff>
      <xdr:row>15</xdr:row>
      <xdr:rowOff>160020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236220</xdr:colOff>
      <xdr:row>17</xdr:row>
      <xdr:rowOff>129540</xdr:rowOff>
    </xdr:from>
    <xdr:to>
      <xdr:col>17</xdr:col>
      <xdr:colOff>495300</xdr:colOff>
      <xdr:row>31</xdr:row>
      <xdr:rowOff>22860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17</xdr:row>
      <xdr:rowOff>129540</xdr:rowOff>
    </xdr:from>
    <xdr:to>
      <xdr:col>8</xdr:col>
      <xdr:colOff>236220</xdr:colOff>
      <xdr:row>31</xdr:row>
      <xdr:rowOff>22860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495300</xdr:colOff>
      <xdr:row>5</xdr:row>
      <xdr:rowOff>0</xdr:rowOff>
    </xdr:from>
    <xdr:to>
      <xdr:col>22</xdr:col>
      <xdr:colOff>0</xdr:colOff>
      <xdr:row>31</xdr:row>
      <xdr:rowOff>22860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36750</xdr:colOff>
      <xdr:row>2</xdr:row>
      <xdr:rowOff>0</xdr:rowOff>
    </xdr:from>
    <xdr:to>
      <xdr:col>8</xdr:col>
      <xdr:colOff>234870</xdr:colOff>
      <xdr:row>15</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2</xdr:col>
      <xdr:colOff>36750</xdr:colOff>
      <xdr:row>30</xdr:row>
      <xdr:rowOff>167640</xdr:rowOff>
    </xdr:to>
    <mc:AlternateContent xmlns:mc="http://schemas.openxmlformats.org/markup-compatibility/2006" xmlns:a14="http://schemas.microsoft.com/office/drawing/2010/main">
      <mc:Choice Requires="a14">
        <xdr:graphicFrame macro="">
          <xdr:nvGraphicFramePr>
            <xdr:cNvPr id="8"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0"/>
              <a:ext cx="1827450" cy="565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434341</xdr:colOff>
      <xdr:row>0</xdr:row>
      <xdr:rowOff>40240</xdr:rowOff>
    </xdr:from>
    <xdr:ext cx="3307080" cy="279800"/>
    <xdr:sp macro="" textlink="">
      <xdr:nvSpPr>
        <xdr:cNvPr id="9" name="TextBox 8"/>
        <xdr:cNvSpPr txBox="1"/>
      </xdr:nvSpPr>
      <xdr:spPr>
        <a:xfrm>
          <a:off x="7642861" y="40240"/>
          <a:ext cx="3307080" cy="279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100"/>
            <a:t>The highest selling products are Home Decorations.</a:t>
          </a:r>
        </a:p>
      </xdr:txBody>
    </xdr:sp>
    <xdr:clientData/>
  </xdr:oneCellAnchor>
  <xdr:oneCellAnchor>
    <xdr:from>
      <xdr:col>2</xdr:col>
      <xdr:colOff>518160</xdr:colOff>
      <xdr:row>0</xdr:row>
      <xdr:rowOff>40240</xdr:rowOff>
    </xdr:from>
    <xdr:ext cx="3503448" cy="279800"/>
    <xdr:sp macro="" textlink="Analysis!R2">
      <xdr:nvSpPr>
        <xdr:cNvPr id="10" name="TextBox 9"/>
        <xdr:cNvSpPr txBox="1"/>
      </xdr:nvSpPr>
      <xdr:spPr>
        <a:xfrm>
          <a:off x="2308860" y="40240"/>
          <a:ext cx="3503448" cy="279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1950C4A-314A-4ADC-8545-DA3B5161F52B}" type="TxLink">
            <a:rPr lang="en-US" sz="1100" b="0" i="0" u="none" strike="noStrike">
              <a:solidFill>
                <a:srgbClr val="000000"/>
              </a:solidFill>
              <a:latin typeface="Calibri"/>
              <a:ea typeface="Calibri"/>
              <a:cs typeface="Calibri"/>
            </a:rPr>
            <a:pPr/>
            <a:t>Sales peak during specific months, indicating seasonality</a:t>
          </a:fld>
          <a:endParaRPr lang="en-IN" sz="1100"/>
        </a:p>
      </xdr:txBody>
    </xdr:sp>
    <xdr:clientData/>
  </xdr:oneCellAnchor>
  <xdr:oneCellAnchor>
    <xdr:from>
      <xdr:col>10</xdr:col>
      <xdr:colOff>220981</xdr:colOff>
      <xdr:row>16</xdr:row>
      <xdr:rowOff>47860</xdr:rowOff>
    </xdr:from>
    <xdr:ext cx="3214278" cy="264560"/>
    <xdr:sp macro="" textlink="Analysis!R3">
      <xdr:nvSpPr>
        <xdr:cNvPr id="11" name="TextBox 10"/>
        <xdr:cNvSpPr txBox="1"/>
      </xdr:nvSpPr>
      <xdr:spPr>
        <a:xfrm>
          <a:off x="7429501" y="2973940"/>
          <a:ext cx="32142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689F785-1BF3-4D7F-A85F-67A2B0588463}" type="TxLink">
            <a:rPr lang="en-US" sz="1100" b="0" i="0" u="none" strike="noStrike">
              <a:solidFill>
                <a:srgbClr val="000000"/>
              </a:solidFill>
              <a:latin typeface="Calibri"/>
              <a:ea typeface="Calibri"/>
              <a:cs typeface="Calibri"/>
            </a:rPr>
            <a:pPr/>
            <a:t>The USA contributes the highest share of total sales</a:t>
          </a:fld>
          <a:endParaRPr lang="en-IN" sz="1100"/>
        </a:p>
      </xdr:txBody>
    </xdr:sp>
    <xdr:clientData/>
  </xdr:oneCellAnchor>
  <xdr:oneCellAnchor>
    <xdr:from>
      <xdr:col>2</xdr:col>
      <xdr:colOff>375132</xdr:colOff>
      <xdr:row>16</xdr:row>
      <xdr:rowOff>47860</xdr:rowOff>
    </xdr:from>
    <xdr:ext cx="3305328" cy="264560"/>
    <xdr:sp macro="" textlink="Analysis!R4">
      <xdr:nvSpPr>
        <xdr:cNvPr id="12" name="TextBox 11"/>
        <xdr:cNvSpPr txBox="1"/>
      </xdr:nvSpPr>
      <xdr:spPr>
        <a:xfrm>
          <a:off x="2165832" y="2973940"/>
          <a:ext cx="33053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61B3C8-5514-4FD3-BEC9-95A1244F413B}" type="TxLink">
            <a:rPr lang="en-US" sz="1100" b="0" i="0" u="none" strike="noStrike">
              <a:solidFill>
                <a:srgbClr val="000000"/>
              </a:solidFill>
              <a:latin typeface="Calibri"/>
              <a:ea typeface="Calibri"/>
              <a:cs typeface="Calibri"/>
            </a:rPr>
            <a:pPr/>
            <a:t>Cash on Delivery is the most preferred payment method</a:t>
          </a:fld>
          <a:endParaRPr lang="en-IN" sz="1100"/>
        </a:p>
      </xdr:txBody>
    </xdr:sp>
    <xdr:clientData/>
  </xdr:oneCellAnchor>
  <xdr:oneCellAnchor>
    <xdr:from>
      <xdr:col>17</xdr:col>
      <xdr:colOff>495300</xdr:colOff>
      <xdr:row>0</xdr:row>
      <xdr:rowOff>0</xdr:rowOff>
    </xdr:from>
    <xdr:ext cx="2438400" cy="1280160"/>
    <xdr:sp macro="" textlink="">
      <xdr:nvSpPr>
        <xdr:cNvPr id="16" name="TextBox 15"/>
        <xdr:cNvSpPr txBox="1"/>
      </xdr:nvSpPr>
      <xdr:spPr>
        <a:xfrm>
          <a:off x="11971020" y="0"/>
          <a:ext cx="2438400" cy="1280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a:t>Most orders are successfully delivered, though a noticeable share of returns and cancellations indicates potential fulfillment or customer satisfaction issues.</a:t>
          </a: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ushik Upadhyay" refreshedDate="46025.901427662036" createdVersion="5" refreshedVersion="5" minRefreshableVersion="3" recordCount="95">
  <cacheSource type="worksheet">
    <worksheetSource name="Ecommerce_Data"/>
  </cacheSource>
  <cacheFields count="12">
    <cacheField name="Order_ID" numFmtId="0">
      <sharedItems count="95">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30"/>
        <s v="ORD1031"/>
        <s v="ORD1032"/>
        <s v="ORD1033"/>
        <s v="ORD1034"/>
        <s v="ORD1036"/>
        <s v="ORD1037"/>
        <s v="ORD1038"/>
        <s v="ORD1039"/>
        <s v="ORD1040"/>
        <s v="ORD1041"/>
        <s v="ORD1043"/>
        <s v="ORD1044"/>
        <s v="ORD1045"/>
        <s v="ORD1046"/>
        <s v="ORD1047"/>
        <s v="ORD1048"/>
        <s v="ORD1049"/>
        <s v="ORD1050"/>
        <s v="ORD1051"/>
        <s v="ORD1052"/>
        <s v="ORD1053"/>
        <s v="ORD1054"/>
        <s v="ORD1055"/>
        <s v="ORD1056"/>
        <s v="ORD1057"/>
        <s v="ORD1058"/>
        <s v="ORD1059"/>
        <s v="ORD1060"/>
        <s v="ORD1061"/>
        <s v="ORD1062"/>
        <s v="ORD1063"/>
        <s v="ORD1065"/>
        <s v="ORD1066"/>
        <s v="ORD1067"/>
        <s v="ORD1068"/>
        <s v="ORD1069"/>
        <s v="ORD1070"/>
        <s v="ORD1071"/>
        <s v="ORD1072"/>
        <s v="ORD1073"/>
        <s v="ORD1074"/>
        <s v="ORD1075"/>
        <s v="ORD1076"/>
        <s v="ORD1077"/>
        <s v="ORD1078"/>
        <s v="ORD1079"/>
        <s v="ORD1080"/>
        <s v="ORD1081"/>
        <s v="ORD1082"/>
        <s v="ORD1083"/>
        <s v="ORD1084"/>
        <s v="ORD1085"/>
        <s v="ORD1087"/>
        <s v="ORD1088"/>
        <s v="ORD1089"/>
        <s v="ORD1090"/>
        <s v="ORD1091"/>
        <s v="ORD1092"/>
        <s v="ORD1093"/>
        <s v="ORD1094"/>
        <s v="ORD1095"/>
        <s v="ORD1096"/>
        <s v="ORD1097"/>
        <s v="ORD1098"/>
        <s v="ORD1099"/>
      </sharedItems>
    </cacheField>
    <cacheField name="Customer_ID" numFmtId="0">
      <sharedItems/>
    </cacheField>
    <cacheField name="Product_Category" numFmtId="0">
      <sharedItems count="6">
        <s v="Home Decor"/>
        <s v="Clothing"/>
        <s v="Sports"/>
        <s v="Beauty"/>
        <s v="Books"/>
        <s v="Electronics"/>
      </sharedItems>
    </cacheField>
    <cacheField name="Product_Price" numFmtId="0">
      <sharedItems containsSemiMixedTypes="0" containsString="0" containsNumber="1" minValue="110.49" maxValue="1975.09"/>
    </cacheField>
    <cacheField name="Quantity" numFmtId="0">
      <sharedItems containsSemiMixedTypes="0" containsString="0" containsNumber="1" containsInteger="1" minValue="1" maxValue="4"/>
    </cacheField>
    <cacheField name="Payment_Method" numFmtId="0">
      <sharedItems count="6">
        <s v="Wallet"/>
        <s v="Cash on Delivery"/>
        <s v="Unknown"/>
        <s v="Debit Card"/>
        <s v="UPI"/>
        <s v="Credit Card"/>
      </sharedItems>
    </cacheField>
    <cacheField name="Order_Date" numFmtId="164">
      <sharedItems containsSemiMixedTypes="0" containsNonDate="0" containsDate="1" containsString="0" minDate="2024-01-02T00:00:00" maxDate="2025-01-01T00:00:00" count="79">
        <d v="2024-08-12T00:00:00"/>
        <d v="2024-05-05T00:00:00"/>
        <d v="2024-05-09T00:00:00"/>
        <d v="2024-02-22T00:00:00"/>
        <d v="2024-06-20T00:00:00"/>
        <d v="2024-08-05T00:00:00"/>
        <d v="2024-06-08T00:00:00"/>
        <d v="2024-07-16T00:00:00"/>
        <d v="2024-09-03T00:00:00"/>
        <d v="2024-11-19T00:00:00"/>
        <d v="2024-07-21T00:00:00"/>
        <d v="2024-07-02T00:00:00"/>
        <d v="2024-05-02T00:00:00"/>
        <d v="2024-09-11T00:00:00"/>
        <d v="2024-10-20T00:00:00"/>
        <d v="2024-10-06T00:00:00"/>
        <d v="2024-11-20T00:00:00"/>
        <d v="2024-04-07T00:00:00"/>
        <d v="2024-08-27T00:00:00"/>
        <d v="2024-05-23T00:00:00"/>
        <d v="2024-04-06T00:00:00"/>
        <d v="2024-07-19T00:00:00"/>
        <d v="2024-05-03T00:00:00"/>
        <d v="2024-07-05T00:00:00"/>
        <d v="2024-11-21T00:00:00"/>
        <d v="2024-12-14T00:00:00"/>
        <d v="2024-09-15T00:00:00"/>
        <d v="2024-05-27T00:00:00"/>
        <d v="2024-12-11T00:00:00"/>
        <d v="2024-05-26T00:00:00"/>
        <d v="2024-12-17T00:00:00"/>
        <d v="2024-07-17T00:00:00"/>
        <d v="2024-05-07T00:00:00"/>
        <d v="2024-02-08T00:00:00"/>
        <d v="2024-12-03T00:00:00"/>
        <d v="2024-12-25T00:00:00"/>
        <d v="2024-05-08T00:00:00"/>
        <d v="2024-09-23T00:00:00"/>
        <d v="2024-10-24T00:00:00"/>
        <d v="2024-04-08T00:00:00"/>
        <d v="2024-09-19T00:00:00"/>
        <d v="2024-09-08T00:00:00"/>
        <d v="2024-04-21T00:00:00"/>
        <d v="2024-02-29T00:00:00"/>
        <d v="2024-01-02T00:00:00"/>
        <d v="2024-10-30T00:00:00"/>
        <d v="2024-09-10T00:00:00"/>
        <d v="2024-05-19T00:00:00"/>
        <d v="2024-02-06T00:00:00"/>
        <d v="2024-01-09T00:00:00"/>
        <d v="2024-08-20T00:00:00"/>
        <d v="2024-07-26T00:00:00"/>
        <d v="2024-05-10T00:00:00"/>
        <d v="2024-02-23T00:00:00"/>
        <d v="2024-04-29T00:00:00"/>
        <d v="2024-06-09T00:00:00"/>
        <d v="2024-04-25T00:00:00"/>
        <d v="2024-03-15T00:00:00"/>
        <d v="2024-04-22T00:00:00"/>
        <d v="2024-04-13T00:00:00"/>
        <d v="2024-12-05T00:00:00"/>
        <d v="2024-08-14T00:00:00"/>
        <d v="2024-06-01T00:00:00"/>
        <d v="2024-12-31T00:00:00"/>
        <d v="2024-07-12T00:00:00"/>
        <d v="2024-11-05T00:00:00"/>
        <d v="2024-06-11T00:00:00"/>
        <d v="2024-06-17T00:00:00"/>
        <d v="2024-03-08T00:00:00"/>
        <d v="2024-10-15T00:00:00"/>
        <d v="2024-10-03T00:00:00"/>
        <d v="2024-05-14T00:00:00"/>
        <d v="2024-07-13T00:00:00"/>
        <d v="2024-02-02T00:00:00"/>
        <d v="2024-06-24T00:00:00"/>
        <d v="2024-01-22T00:00:00"/>
        <d v="2024-08-25T00:00:00"/>
        <d v="2024-06-06T00:00:00"/>
        <d v="2024-02-07T00:00:00"/>
      </sharedItems>
      <fieldGroup par="11" base="6">
        <rangePr groupBy="months" startDate="2024-01-02T00:00:00" endDate="2025-01-01T00:00:00"/>
        <groupItems count="14">
          <s v="&lt;02-01-2024"/>
          <s v="Jan"/>
          <s v="Feb"/>
          <s v="Mar"/>
          <s v="Apr"/>
          <s v="May"/>
          <s v="Jun"/>
          <s v="Jul"/>
          <s v="Aug"/>
          <s v="Sep"/>
          <s v="Oct"/>
          <s v="Nov"/>
          <s v="Dec"/>
          <s v="&gt;01-01-2025"/>
        </groupItems>
      </fieldGroup>
    </cacheField>
    <cacheField name="Customer_Country" numFmtId="0">
      <sharedItems count="6">
        <s v="Canada"/>
        <s v="India"/>
        <s v="Australia"/>
        <s v="Germany"/>
        <s v="USA"/>
        <s v="UK"/>
      </sharedItems>
    </cacheField>
    <cacheField name="Rating" numFmtId="0">
      <sharedItems containsSemiMixedTypes="0" containsString="0" containsNumber="1" containsInteger="1" minValue="1" maxValue="5"/>
    </cacheField>
    <cacheField name="Shipment_Status" numFmtId="0">
      <sharedItems count="4">
        <s v="Delivered"/>
        <s v="Pending"/>
        <s v="Returned"/>
        <s v="Cancelled"/>
      </sharedItems>
    </cacheField>
    <cacheField name="Total_Sales" numFmtId="0">
      <sharedItems containsSemiMixedTypes="0" containsString="0" containsNumber="1" minValue="148.30000000000001" maxValue="7738.8"/>
    </cacheField>
    <cacheField name="Years" numFmtId="0" databaseField="0">
      <fieldGroup base="6">
        <rangePr groupBy="years" startDate="2024-01-02T00:00:00" endDate="2025-01-01T00:00:00"/>
        <groupItems count="4">
          <s v="&lt;02-01-2024"/>
          <s v="2024"/>
          <s v="2025"/>
          <s v="&gt;01-0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5">
  <r>
    <x v="0"/>
    <s v="CUST25"/>
    <x v="0"/>
    <n v="811.63"/>
    <n v="3"/>
    <x v="0"/>
    <x v="0"/>
    <x v="0"/>
    <n v="5"/>
    <x v="0"/>
    <n v="2434.89"/>
  </r>
  <r>
    <x v="1"/>
    <s v="CUST49"/>
    <x v="0"/>
    <n v="1906.36"/>
    <n v="4"/>
    <x v="1"/>
    <x v="1"/>
    <x v="1"/>
    <n v="4"/>
    <x v="1"/>
    <n v="7625.44"/>
  </r>
  <r>
    <x v="2"/>
    <s v="CUST18"/>
    <x v="1"/>
    <n v="1490.79"/>
    <n v="3"/>
    <x v="0"/>
    <x v="2"/>
    <x v="2"/>
    <n v="2"/>
    <x v="2"/>
    <n v="4472.37"/>
  </r>
  <r>
    <x v="3"/>
    <s v="CUST11"/>
    <x v="2"/>
    <n v="1237.45"/>
    <n v="1"/>
    <x v="2"/>
    <x v="3"/>
    <x v="1"/>
    <n v="1"/>
    <x v="0"/>
    <n v="1237.45"/>
  </r>
  <r>
    <x v="4"/>
    <s v="CUST30"/>
    <x v="3"/>
    <n v="396.44"/>
    <n v="4"/>
    <x v="3"/>
    <x v="4"/>
    <x v="0"/>
    <n v="1"/>
    <x v="0"/>
    <n v="1585.76"/>
  </r>
  <r>
    <x v="5"/>
    <s v="CUST37"/>
    <x v="4"/>
    <n v="396.39"/>
    <n v="1"/>
    <x v="4"/>
    <x v="5"/>
    <x v="3"/>
    <n v="3"/>
    <x v="2"/>
    <n v="396.39"/>
  </r>
  <r>
    <x v="6"/>
    <s v="CUST26"/>
    <x v="2"/>
    <n v="210.36"/>
    <n v="4"/>
    <x v="0"/>
    <x v="6"/>
    <x v="2"/>
    <n v="4"/>
    <x v="0"/>
    <n v="841.44"/>
  </r>
  <r>
    <x v="7"/>
    <s v="CUST9"/>
    <x v="5"/>
    <n v="1745.73"/>
    <n v="4"/>
    <x v="4"/>
    <x v="7"/>
    <x v="3"/>
    <n v="2"/>
    <x v="0"/>
    <n v="6982.92"/>
  </r>
  <r>
    <x v="8"/>
    <s v="CUST32"/>
    <x v="0"/>
    <n v="1242.1199999999999"/>
    <n v="2"/>
    <x v="1"/>
    <x v="8"/>
    <x v="2"/>
    <n v="1"/>
    <x v="3"/>
    <n v="2484.2399999999998"/>
  </r>
  <r>
    <x v="9"/>
    <s v="CUST34"/>
    <x v="5"/>
    <n v="1445.34"/>
    <n v="1"/>
    <x v="0"/>
    <x v="9"/>
    <x v="3"/>
    <n v="1"/>
    <x v="3"/>
    <n v="1445.34"/>
  </r>
  <r>
    <x v="10"/>
    <s v="CUST21"/>
    <x v="1"/>
    <n v="139.11000000000001"/>
    <n v="3"/>
    <x v="3"/>
    <x v="10"/>
    <x v="4"/>
    <n v="1"/>
    <x v="0"/>
    <n v="417.33000000000004"/>
  </r>
  <r>
    <x v="11"/>
    <s v="CUST8"/>
    <x v="1"/>
    <n v="1942.83"/>
    <n v="3"/>
    <x v="0"/>
    <x v="11"/>
    <x v="4"/>
    <n v="1"/>
    <x v="1"/>
    <n v="5828.49"/>
  </r>
  <r>
    <x v="12"/>
    <s v="CUST31"/>
    <x v="5"/>
    <n v="1681.64"/>
    <n v="1"/>
    <x v="3"/>
    <x v="12"/>
    <x v="5"/>
    <n v="2"/>
    <x v="0"/>
    <n v="1681.64"/>
  </r>
  <r>
    <x v="13"/>
    <s v="CUST18"/>
    <x v="1"/>
    <n v="503.44"/>
    <n v="3"/>
    <x v="5"/>
    <x v="13"/>
    <x v="3"/>
    <n v="1"/>
    <x v="1"/>
    <n v="1510.32"/>
  </r>
  <r>
    <x v="14"/>
    <s v="CUST49"/>
    <x v="1"/>
    <n v="445.47"/>
    <n v="3"/>
    <x v="5"/>
    <x v="14"/>
    <x v="3"/>
    <n v="4"/>
    <x v="3"/>
    <n v="1336.41"/>
  </r>
  <r>
    <x v="15"/>
    <s v="CUST39"/>
    <x v="1"/>
    <n v="448.47"/>
    <n v="1"/>
    <x v="5"/>
    <x v="15"/>
    <x v="5"/>
    <n v="3"/>
    <x v="0"/>
    <n v="448.47"/>
  </r>
  <r>
    <x v="16"/>
    <s v="CUST3"/>
    <x v="4"/>
    <n v="678.06"/>
    <n v="4"/>
    <x v="5"/>
    <x v="16"/>
    <x v="5"/>
    <n v="5"/>
    <x v="0"/>
    <n v="2712.24"/>
  </r>
  <r>
    <x v="17"/>
    <s v="CUST15"/>
    <x v="5"/>
    <n v="1097.04"/>
    <n v="1"/>
    <x v="5"/>
    <x v="17"/>
    <x v="3"/>
    <n v="3"/>
    <x v="1"/>
    <n v="1097.04"/>
  </r>
  <r>
    <x v="18"/>
    <s v="CUST23"/>
    <x v="5"/>
    <n v="920.7"/>
    <n v="4"/>
    <x v="3"/>
    <x v="7"/>
    <x v="1"/>
    <n v="5"/>
    <x v="0"/>
    <n v="3682.8"/>
  </r>
  <r>
    <x v="19"/>
    <s v="CUST21"/>
    <x v="4"/>
    <n v="653.34"/>
    <n v="3"/>
    <x v="4"/>
    <x v="18"/>
    <x v="4"/>
    <n v="3"/>
    <x v="1"/>
    <n v="1960.02"/>
  </r>
  <r>
    <x v="20"/>
    <s v="CUST14"/>
    <x v="0"/>
    <n v="1262.52"/>
    <n v="3"/>
    <x v="1"/>
    <x v="19"/>
    <x v="5"/>
    <n v="2"/>
    <x v="0"/>
    <n v="3787.56"/>
  </r>
  <r>
    <x v="21"/>
    <s v="CUST17"/>
    <x v="0"/>
    <n v="365.04"/>
    <n v="3"/>
    <x v="3"/>
    <x v="20"/>
    <x v="2"/>
    <n v="3"/>
    <x v="2"/>
    <n v="1095.1200000000001"/>
  </r>
  <r>
    <x v="22"/>
    <s v="CUST22"/>
    <x v="5"/>
    <n v="655.07000000000005"/>
    <n v="2"/>
    <x v="1"/>
    <x v="21"/>
    <x v="4"/>
    <n v="2"/>
    <x v="2"/>
    <n v="1310.1400000000001"/>
  </r>
  <r>
    <x v="23"/>
    <s v="CUST19"/>
    <x v="2"/>
    <n v="796.09"/>
    <n v="4"/>
    <x v="0"/>
    <x v="22"/>
    <x v="5"/>
    <n v="5"/>
    <x v="1"/>
    <n v="3184.36"/>
  </r>
  <r>
    <x v="24"/>
    <s v="CUST4"/>
    <x v="1"/>
    <n v="966.53"/>
    <n v="2"/>
    <x v="4"/>
    <x v="23"/>
    <x v="3"/>
    <n v="1"/>
    <x v="3"/>
    <n v="1933.06"/>
  </r>
  <r>
    <x v="25"/>
    <s v="CUST36"/>
    <x v="0"/>
    <n v="1591.83"/>
    <n v="2"/>
    <x v="1"/>
    <x v="24"/>
    <x v="4"/>
    <n v="5"/>
    <x v="1"/>
    <n v="3183.66"/>
  </r>
  <r>
    <x v="26"/>
    <s v="CUST1"/>
    <x v="3"/>
    <n v="479.38"/>
    <n v="1"/>
    <x v="5"/>
    <x v="25"/>
    <x v="1"/>
    <n v="5"/>
    <x v="1"/>
    <n v="479.38"/>
  </r>
  <r>
    <x v="27"/>
    <s v="CUST38"/>
    <x v="1"/>
    <n v="1077.05"/>
    <n v="2"/>
    <x v="1"/>
    <x v="26"/>
    <x v="5"/>
    <n v="1"/>
    <x v="1"/>
    <n v="2154.1"/>
  </r>
  <r>
    <x v="28"/>
    <s v="CUST8"/>
    <x v="3"/>
    <n v="1225.5899999999999"/>
    <n v="1"/>
    <x v="3"/>
    <x v="27"/>
    <x v="0"/>
    <n v="4"/>
    <x v="1"/>
    <n v="1225.5899999999999"/>
  </r>
  <r>
    <x v="29"/>
    <s v="CUST14"/>
    <x v="4"/>
    <n v="1254.3399999999999"/>
    <n v="2"/>
    <x v="0"/>
    <x v="28"/>
    <x v="3"/>
    <n v="2"/>
    <x v="1"/>
    <n v="2508.6799999999998"/>
  </r>
  <r>
    <x v="30"/>
    <s v="CUST46"/>
    <x v="3"/>
    <n v="424"/>
    <n v="4"/>
    <x v="4"/>
    <x v="29"/>
    <x v="3"/>
    <n v="3"/>
    <x v="3"/>
    <n v="1696"/>
  </r>
  <r>
    <x v="31"/>
    <s v="CUST4"/>
    <x v="4"/>
    <n v="223.6"/>
    <n v="4"/>
    <x v="2"/>
    <x v="27"/>
    <x v="5"/>
    <n v="5"/>
    <x v="2"/>
    <n v="894.4"/>
  </r>
  <r>
    <x v="32"/>
    <s v="CUST12"/>
    <x v="4"/>
    <n v="1902.88"/>
    <n v="4"/>
    <x v="5"/>
    <x v="30"/>
    <x v="0"/>
    <n v="1"/>
    <x v="3"/>
    <n v="7611.52"/>
  </r>
  <r>
    <x v="33"/>
    <s v="CUST50"/>
    <x v="3"/>
    <n v="1934.7"/>
    <n v="4"/>
    <x v="0"/>
    <x v="31"/>
    <x v="2"/>
    <n v="5"/>
    <x v="2"/>
    <n v="7738.8"/>
  </r>
  <r>
    <x v="34"/>
    <s v="CUST33"/>
    <x v="5"/>
    <n v="678.77"/>
    <n v="2"/>
    <x v="4"/>
    <x v="32"/>
    <x v="5"/>
    <n v="4"/>
    <x v="0"/>
    <n v="1357.54"/>
  </r>
  <r>
    <x v="35"/>
    <s v="CUST6"/>
    <x v="0"/>
    <n v="285.58"/>
    <n v="2"/>
    <x v="5"/>
    <x v="33"/>
    <x v="4"/>
    <n v="2"/>
    <x v="2"/>
    <n v="571.16"/>
  </r>
  <r>
    <x v="36"/>
    <s v="CUST41"/>
    <x v="5"/>
    <n v="1400.04"/>
    <n v="3"/>
    <x v="3"/>
    <x v="34"/>
    <x v="1"/>
    <n v="1"/>
    <x v="1"/>
    <n v="4200.12"/>
  </r>
  <r>
    <x v="37"/>
    <s v="CUST49"/>
    <x v="0"/>
    <n v="936.29"/>
    <n v="4"/>
    <x v="5"/>
    <x v="35"/>
    <x v="0"/>
    <n v="3"/>
    <x v="0"/>
    <n v="3745.16"/>
  </r>
  <r>
    <x v="38"/>
    <s v="CUST1"/>
    <x v="2"/>
    <n v="331.87"/>
    <n v="2"/>
    <x v="1"/>
    <x v="36"/>
    <x v="2"/>
    <n v="4"/>
    <x v="2"/>
    <n v="663.74"/>
  </r>
  <r>
    <x v="39"/>
    <s v="CUST16"/>
    <x v="2"/>
    <n v="1040.8399999999999"/>
    <n v="3"/>
    <x v="0"/>
    <x v="37"/>
    <x v="4"/>
    <n v="2"/>
    <x v="1"/>
    <n v="3122.5199999999995"/>
  </r>
  <r>
    <x v="40"/>
    <s v="CUST9"/>
    <x v="4"/>
    <n v="1827.71"/>
    <n v="1"/>
    <x v="4"/>
    <x v="38"/>
    <x v="3"/>
    <n v="2"/>
    <x v="0"/>
    <n v="1827.71"/>
  </r>
  <r>
    <x v="41"/>
    <s v="CUST35"/>
    <x v="2"/>
    <n v="591.67999999999995"/>
    <n v="3"/>
    <x v="1"/>
    <x v="39"/>
    <x v="4"/>
    <n v="4"/>
    <x v="2"/>
    <n v="1775.04"/>
  </r>
  <r>
    <x v="42"/>
    <s v="CUST13"/>
    <x v="5"/>
    <n v="1358.79"/>
    <n v="2"/>
    <x v="3"/>
    <x v="40"/>
    <x v="3"/>
    <n v="4"/>
    <x v="0"/>
    <n v="2717.58"/>
  </r>
  <r>
    <x v="43"/>
    <s v="CUST15"/>
    <x v="5"/>
    <n v="692.25"/>
    <n v="1"/>
    <x v="2"/>
    <x v="41"/>
    <x v="5"/>
    <n v="4"/>
    <x v="2"/>
    <n v="692.25"/>
  </r>
  <r>
    <x v="44"/>
    <s v="CUST13"/>
    <x v="0"/>
    <n v="1088.1300000000001"/>
    <n v="1"/>
    <x v="5"/>
    <x v="19"/>
    <x v="4"/>
    <n v="5"/>
    <x v="1"/>
    <n v="1088.1300000000001"/>
  </r>
  <r>
    <x v="45"/>
    <s v="CUST6"/>
    <x v="1"/>
    <n v="1138.75"/>
    <n v="1"/>
    <x v="1"/>
    <x v="28"/>
    <x v="3"/>
    <n v="3"/>
    <x v="1"/>
    <n v="1138.75"/>
  </r>
  <r>
    <x v="46"/>
    <s v="CUST11"/>
    <x v="4"/>
    <n v="451.22"/>
    <n v="3"/>
    <x v="4"/>
    <x v="42"/>
    <x v="5"/>
    <n v="4"/>
    <x v="3"/>
    <n v="1353.66"/>
  </r>
  <r>
    <x v="47"/>
    <s v="CUST14"/>
    <x v="2"/>
    <n v="1942.21"/>
    <n v="2"/>
    <x v="1"/>
    <x v="43"/>
    <x v="5"/>
    <n v="5"/>
    <x v="1"/>
    <n v="3884.42"/>
  </r>
  <r>
    <x v="48"/>
    <s v="CUST27"/>
    <x v="2"/>
    <n v="1572.75"/>
    <n v="1"/>
    <x v="0"/>
    <x v="44"/>
    <x v="4"/>
    <n v="3"/>
    <x v="3"/>
    <n v="1572.75"/>
  </r>
  <r>
    <x v="49"/>
    <s v="CUST44"/>
    <x v="4"/>
    <n v="1885.05"/>
    <n v="4"/>
    <x v="1"/>
    <x v="45"/>
    <x v="4"/>
    <n v="5"/>
    <x v="0"/>
    <n v="7540.2"/>
  </r>
  <r>
    <x v="50"/>
    <s v="CUST18"/>
    <x v="5"/>
    <n v="1800.17"/>
    <n v="1"/>
    <x v="4"/>
    <x v="46"/>
    <x v="1"/>
    <n v="4"/>
    <x v="0"/>
    <n v="1800.17"/>
  </r>
  <r>
    <x v="51"/>
    <s v="CUST48"/>
    <x v="4"/>
    <n v="1236.01"/>
    <n v="1"/>
    <x v="5"/>
    <x v="47"/>
    <x v="0"/>
    <n v="5"/>
    <x v="3"/>
    <n v="1236.01"/>
  </r>
  <r>
    <x v="52"/>
    <s v="CUST25"/>
    <x v="0"/>
    <n v="1851.56"/>
    <n v="3"/>
    <x v="5"/>
    <x v="48"/>
    <x v="4"/>
    <n v="2"/>
    <x v="3"/>
    <n v="5554.68"/>
  </r>
  <r>
    <x v="53"/>
    <s v="CUST8"/>
    <x v="1"/>
    <n v="268.14"/>
    <n v="3"/>
    <x v="1"/>
    <x v="6"/>
    <x v="4"/>
    <n v="2"/>
    <x v="2"/>
    <n v="804.42"/>
  </r>
  <r>
    <x v="54"/>
    <s v="CUST14"/>
    <x v="5"/>
    <n v="472.37"/>
    <n v="2"/>
    <x v="1"/>
    <x v="49"/>
    <x v="0"/>
    <n v="5"/>
    <x v="1"/>
    <n v="944.74"/>
  </r>
  <r>
    <x v="55"/>
    <s v="CUST29"/>
    <x v="5"/>
    <n v="185.93"/>
    <n v="4"/>
    <x v="1"/>
    <x v="50"/>
    <x v="1"/>
    <n v="5"/>
    <x v="0"/>
    <n v="743.72"/>
  </r>
  <r>
    <x v="56"/>
    <s v="CUST7"/>
    <x v="0"/>
    <n v="718.13"/>
    <n v="3"/>
    <x v="3"/>
    <x v="39"/>
    <x v="1"/>
    <n v="4"/>
    <x v="3"/>
    <n v="2154.39"/>
  </r>
  <r>
    <x v="57"/>
    <s v="CUST35"/>
    <x v="1"/>
    <n v="838.49"/>
    <n v="1"/>
    <x v="1"/>
    <x v="29"/>
    <x v="4"/>
    <n v="1"/>
    <x v="1"/>
    <n v="838.49"/>
  </r>
  <r>
    <x v="58"/>
    <s v="CUST6"/>
    <x v="5"/>
    <n v="615.55999999999995"/>
    <n v="2"/>
    <x v="1"/>
    <x v="45"/>
    <x v="3"/>
    <n v="5"/>
    <x v="2"/>
    <n v="1231.1199999999999"/>
  </r>
  <r>
    <x v="59"/>
    <s v="CUST44"/>
    <x v="3"/>
    <n v="1674.6"/>
    <n v="1"/>
    <x v="3"/>
    <x v="51"/>
    <x v="3"/>
    <n v="4"/>
    <x v="0"/>
    <n v="1674.6"/>
  </r>
  <r>
    <x v="60"/>
    <s v="CUST21"/>
    <x v="5"/>
    <n v="777.83"/>
    <n v="1"/>
    <x v="5"/>
    <x v="52"/>
    <x v="3"/>
    <n v="4"/>
    <x v="2"/>
    <n v="777.83"/>
  </r>
  <r>
    <x v="61"/>
    <s v="CUST37"/>
    <x v="4"/>
    <n v="1131.1199999999999"/>
    <n v="2"/>
    <x v="5"/>
    <x v="53"/>
    <x v="1"/>
    <n v="3"/>
    <x v="1"/>
    <n v="2262.2399999999998"/>
  </r>
  <r>
    <x v="62"/>
    <s v="CUST45"/>
    <x v="0"/>
    <n v="367.76"/>
    <n v="4"/>
    <x v="4"/>
    <x v="54"/>
    <x v="2"/>
    <n v="5"/>
    <x v="2"/>
    <n v="1471.04"/>
  </r>
  <r>
    <x v="63"/>
    <s v="CUST46"/>
    <x v="1"/>
    <n v="1624.17"/>
    <n v="4"/>
    <x v="3"/>
    <x v="55"/>
    <x v="0"/>
    <n v="4"/>
    <x v="2"/>
    <n v="6496.68"/>
  </r>
  <r>
    <x v="64"/>
    <s v="CUST5"/>
    <x v="3"/>
    <n v="241.65"/>
    <n v="3"/>
    <x v="0"/>
    <x v="56"/>
    <x v="5"/>
    <n v="1"/>
    <x v="3"/>
    <n v="724.95"/>
  </r>
  <r>
    <x v="65"/>
    <s v="CUST10"/>
    <x v="0"/>
    <n v="1975.09"/>
    <n v="3"/>
    <x v="5"/>
    <x v="57"/>
    <x v="4"/>
    <n v="2"/>
    <x v="2"/>
    <n v="5925.2699999999995"/>
  </r>
  <r>
    <x v="66"/>
    <s v="CUST40"/>
    <x v="4"/>
    <n v="1567.27"/>
    <n v="2"/>
    <x v="3"/>
    <x v="58"/>
    <x v="1"/>
    <n v="3"/>
    <x v="2"/>
    <n v="3134.54"/>
  </r>
  <r>
    <x v="67"/>
    <s v="CUST24"/>
    <x v="5"/>
    <n v="477.56"/>
    <n v="4"/>
    <x v="1"/>
    <x v="59"/>
    <x v="2"/>
    <n v="5"/>
    <x v="3"/>
    <n v="1910.24"/>
  </r>
  <r>
    <x v="68"/>
    <s v="CUST19"/>
    <x v="2"/>
    <n v="110.49"/>
    <n v="4"/>
    <x v="1"/>
    <x v="60"/>
    <x v="1"/>
    <n v="3"/>
    <x v="1"/>
    <n v="441.96"/>
  </r>
  <r>
    <x v="69"/>
    <s v="CUST20"/>
    <x v="5"/>
    <n v="1649.38"/>
    <n v="4"/>
    <x v="1"/>
    <x v="46"/>
    <x v="1"/>
    <n v="5"/>
    <x v="1"/>
    <n v="6597.52"/>
  </r>
  <r>
    <x v="70"/>
    <s v="CUST50"/>
    <x v="5"/>
    <n v="1443.03"/>
    <n v="1"/>
    <x v="3"/>
    <x v="61"/>
    <x v="0"/>
    <n v="2"/>
    <x v="2"/>
    <n v="1443.03"/>
  </r>
  <r>
    <x v="71"/>
    <s v="CUST29"/>
    <x v="0"/>
    <n v="1485.11"/>
    <n v="4"/>
    <x v="5"/>
    <x v="42"/>
    <x v="2"/>
    <n v="2"/>
    <x v="0"/>
    <n v="5940.44"/>
  </r>
  <r>
    <x v="72"/>
    <s v="CUST50"/>
    <x v="1"/>
    <n v="1565.41"/>
    <n v="1"/>
    <x v="2"/>
    <x v="39"/>
    <x v="1"/>
    <n v="1"/>
    <x v="3"/>
    <n v="1565.41"/>
  </r>
  <r>
    <x v="73"/>
    <s v="CUST35"/>
    <x v="3"/>
    <n v="240.68"/>
    <n v="2"/>
    <x v="1"/>
    <x v="62"/>
    <x v="3"/>
    <n v="2"/>
    <x v="3"/>
    <n v="481.36"/>
  </r>
  <r>
    <x v="74"/>
    <s v="CUST13"/>
    <x v="3"/>
    <n v="781.08"/>
    <n v="1"/>
    <x v="1"/>
    <x v="25"/>
    <x v="0"/>
    <n v="2"/>
    <x v="2"/>
    <n v="781.08"/>
  </r>
  <r>
    <x v="75"/>
    <s v="CUST30"/>
    <x v="1"/>
    <n v="320.14999999999998"/>
    <n v="2"/>
    <x v="0"/>
    <x v="63"/>
    <x v="3"/>
    <n v="2"/>
    <x v="2"/>
    <n v="640.29999999999995"/>
  </r>
  <r>
    <x v="76"/>
    <s v="CUST42"/>
    <x v="1"/>
    <n v="1739.9"/>
    <n v="4"/>
    <x v="2"/>
    <x v="34"/>
    <x v="0"/>
    <n v="5"/>
    <x v="2"/>
    <n v="6959.6"/>
  </r>
  <r>
    <x v="77"/>
    <s v="CUST32"/>
    <x v="2"/>
    <n v="1284.27"/>
    <n v="4"/>
    <x v="1"/>
    <x v="64"/>
    <x v="3"/>
    <n v="5"/>
    <x v="1"/>
    <n v="5137.08"/>
  </r>
  <r>
    <x v="78"/>
    <s v="CUST34"/>
    <x v="3"/>
    <n v="728.71"/>
    <n v="2"/>
    <x v="0"/>
    <x v="65"/>
    <x v="0"/>
    <n v="5"/>
    <x v="1"/>
    <n v="1457.42"/>
  </r>
  <r>
    <x v="79"/>
    <s v="CUST4"/>
    <x v="4"/>
    <n v="220.76"/>
    <n v="3"/>
    <x v="5"/>
    <x v="66"/>
    <x v="0"/>
    <n v="3"/>
    <x v="2"/>
    <n v="662.28"/>
  </r>
  <r>
    <x v="80"/>
    <s v="CUST38"/>
    <x v="1"/>
    <n v="690.87"/>
    <n v="2"/>
    <x v="0"/>
    <x v="51"/>
    <x v="0"/>
    <n v="1"/>
    <x v="1"/>
    <n v="1381.74"/>
  </r>
  <r>
    <x v="81"/>
    <s v="CUST31"/>
    <x v="3"/>
    <n v="717.85"/>
    <n v="3"/>
    <x v="4"/>
    <x v="67"/>
    <x v="5"/>
    <n v="1"/>
    <x v="2"/>
    <n v="2153.5500000000002"/>
  </r>
  <r>
    <x v="82"/>
    <s v="CUST46"/>
    <x v="0"/>
    <n v="1311.36"/>
    <n v="1"/>
    <x v="1"/>
    <x v="68"/>
    <x v="4"/>
    <n v="3"/>
    <x v="2"/>
    <n v="1311.36"/>
  </r>
  <r>
    <x v="83"/>
    <s v="CUST3"/>
    <x v="4"/>
    <n v="1785.7"/>
    <n v="1"/>
    <x v="5"/>
    <x v="69"/>
    <x v="4"/>
    <n v="2"/>
    <x v="2"/>
    <n v="1785.7"/>
  </r>
  <r>
    <x v="84"/>
    <s v="CUST32"/>
    <x v="2"/>
    <n v="997.21"/>
    <n v="4"/>
    <x v="4"/>
    <x v="70"/>
    <x v="5"/>
    <n v="5"/>
    <x v="3"/>
    <n v="3988.84"/>
  </r>
  <r>
    <x v="85"/>
    <s v="CUST22"/>
    <x v="3"/>
    <n v="327.23"/>
    <n v="1"/>
    <x v="5"/>
    <x v="45"/>
    <x v="1"/>
    <n v="5"/>
    <x v="3"/>
    <n v="327.23"/>
  </r>
  <r>
    <x v="86"/>
    <s v="CUST40"/>
    <x v="4"/>
    <n v="1455.17"/>
    <n v="3"/>
    <x v="3"/>
    <x v="71"/>
    <x v="1"/>
    <n v="4"/>
    <x v="1"/>
    <n v="4365.51"/>
  </r>
  <r>
    <x v="87"/>
    <s v="CUST16"/>
    <x v="0"/>
    <n v="1545.49"/>
    <n v="1"/>
    <x v="4"/>
    <x v="72"/>
    <x v="0"/>
    <n v="5"/>
    <x v="0"/>
    <n v="1545.49"/>
  </r>
  <r>
    <x v="88"/>
    <s v="CUST36"/>
    <x v="1"/>
    <n v="1166.43"/>
    <n v="2"/>
    <x v="0"/>
    <x v="32"/>
    <x v="4"/>
    <n v="2"/>
    <x v="3"/>
    <n v="2332.86"/>
  </r>
  <r>
    <x v="89"/>
    <s v="CUST17"/>
    <x v="1"/>
    <n v="1564.84"/>
    <n v="2"/>
    <x v="5"/>
    <x v="73"/>
    <x v="5"/>
    <n v="2"/>
    <x v="3"/>
    <n v="3129.68"/>
  </r>
  <r>
    <x v="90"/>
    <s v="CUST15"/>
    <x v="4"/>
    <n v="1038.21"/>
    <n v="4"/>
    <x v="1"/>
    <x v="74"/>
    <x v="5"/>
    <n v="2"/>
    <x v="0"/>
    <n v="4152.84"/>
  </r>
  <r>
    <x v="91"/>
    <s v="CUST10"/>
    <x v="5"/>
    <n v="1093.19"/>
    <n v="2"/>
    <x v="1"/>
    <x v="75"/>
    <x v="5"/>
    <n v="1"/>
    <x v="2"/>
    <n v="2186.38"/>
  </r>
  <r>
    <x v="92"/>
    <s v="CUST32"/>
    <x v="4"/>
    <n v="912.33"/>
    <n v="3"/>
    <x v="0"/>
    <x v="76"/>
    <x v="1"/>
    <n v="1"/>
    <x v="0"/>
    <n v="2736.9900000000002"/>
  </r>
  <r>
    <x v="93"/>
    <s v="CUST20"/>
    <x v="2"/>
    <n v="148.30000000000001"/>
    <n v="1"/>
    <x v="0"/>
    <x v="77"/>
    <x v="0"/>
    <n v="1"/>
    <x v="3"/>
    <n v="148.30000000000001"/>
  </r>
  <r>
    <x v="94"/>
    <s v="CUST44"/>
    <x v="5"/>
    <n v="304.99"/>
    <n v="4"/>
    <x v="5"/>
    <x v="78"/>
    <x v="4"/>
    <n v="4"/>
    <x v="0"/>
    <n v="121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1:C2" firstHeaderRow="1" firstDataRow="1" firstDataCol="0"/>
  <pivotFields count="12">
    <pivotField showAll="0"/>
    <pivotField showAll="0"/>
    <pivotField showAll="0">
      <items count="7">
        <item x="3"/>
        <item x="4"/>
        <item x="1"/>
        <item x="5"/>
        <item x="0"/>
        <item x="2"/>
        <item t="default"/>
      </items>
    </pivotField>
    <pivotField showAll="0"/>
    <pivotField dataField="1"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defaultSubtotal="0">
      <items count="4">
        <item x="0"/>
        <item x="1"/>
        <item x="2"/>
        <item x="3"/>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B2" firstHeaderRow="1" firstDataRow="1" firstDataCol="0"/>
  <pivotFields count="12">
    <pivotField dataField="1" showAll="0"/>
    <pivotField showAll="0"/>
    <pivotField showAll="0">
      <items count="7">
        <item x="3"/>
        <item x="4"/>
        <item x="1"/>
        <item x="5"/>
        <item x="0"/>
        <item x="2"/>
        <item t="default"/>
      </items>
    </pivotField>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defaultSubtotal="0">
      <items count="4">
        <item x="0"/>
        <item x="1"/>
        <item x="2"/>
        <item x="3"/>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I3:J17" firstHeaderRow="1" firstDataRow="1" firstDataCol="1"/>
  <pivotFields count="12">
    <pivotField showAll="0"/>
    <pivotField showAll="0"/>
    <pivotField showAll="0">
      <items count="7">
        <item x="3"/>
        <item x="4"/>
        <item x="1"/>
        <item x="5"/>
        <item x="0"/>
        <item x="2"/>
        <item t="default"/>
      </items>
    </pivotField>
    <pivotField showAll="0"/>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dataField="1" showAll="0"/>
    <pivotField axis="axisRow" showAll="0" defaultSubtotal="0">
      <items count="4">
        <item x="0"/>
        <item x="1"/>
        <item x="2"/>
        <item x="3"/>
      </items>
    </pivotField>
  </pivotFields>
  <rowFields count="2">
    <field x="11"/>
    <field x="6"/>
  </rowFields>
  <rowItems count="14">
    <i>
      <x v="1"/>
    </i>
    <i r="1">
      <x v="1"/>
    </i>
    <i r="1">
      <x v="2"/>
    </i>
    <i r="1">
      <x v="3"/>
    </i>
    <i r="1">
      <x v="4"/>
    </i>
    <i r="1">
      <x v="5"/>
    </i>
    <i r="1">
      <x v="6"/>
    </i>
    <i r="1">
      <x v="7"/>
    </i>
    <i r="1">
      <x v="8"/>
    </i>
    <i r="1">
      <x v="9"/>
    </i>
    <i r="1">
      <x v="10"/>
    </i>
    <i r="1">
      <x v="11"/>
    </i>
    <i r="1">
      <x v="12"/>
    </i>
    <i t="grand">
      <x/>
    </i>
  </rowItems>
  <colItems count="1">
    <i/>
  </colItems>
  <dataFields count="1">
    <dataField name="Sum of Total_Sales" fld="10" baseField="6" baseItem="3" numFmtId="167"/>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C3:D10" firstHeaderRow="1" firstDataRow="1" firstDataCol="1"/>
  <pivotFields count="12">
    <pivotField showAll="0"/>
    <pivotField showAll="0"/>
    <pivotField showAll="0">
      <items count="7">
        <item x="3"/>
        <item x="4"/>
        <item x="1"/>
        <item x="5"/>
        <item x="0"/>
        <item x="2"/>
        <item t="default"/>
      </items>
    </pivotField>
    <pivotField showAll="0"/>
    <pivotField showAll="0"/>
    <pivotField showAll="0"/>
    <pivotField numFmtId="164" showAll="0">
      <items count="15">
        <item x="0"/>
        <item x="1"/>
        <item x="2"/>
        <item x="3"/>
        <item x="4"/>
        <item x="5"/>
        <item x="6"/>
        <item x="7"/>
        <item x="8"/>
        <item x="9"/>
        <item x="10"/>
        <item x="11"/>
        <item x="12"/>
        <item x="13"/>
        <item t="default"/>
      </items>
    </pivotField>
    <pivotField axis="axisRow" showAll="0">
      <items count="7">
        <item x="2"/>
        <item x="0"/>
        <item x="3"/>
        <item x="1"/>
        <item x="5"/>
        <item x="4"/>
        <item t="default"/>
      </items>
    </pivotField>
    <pivotField showAll="0"/>
    <pivotField showAll="0"/>
    <pivotField dataField="1" showAll="0"/>
    <pivotField showAll="0" defaultSubtotal="0">
      <items count="4">
        <item x="0"/>
        <item x="1"/>
        <item x="2"/>
        <item x="3"/>
      </items>
    </pivotField>
  </pivotFields>
  <rowFields count="1">
    <field x="7"/>
  </rowFields>
  <rowItems count="7">
    <i>
      <x/>
    </i>
    <i>
      <x v="1"/>
    </i>
    <i>
      <x v="2"/>
    </i>
    <i>
      <x v="3"/>
    </i>
    <i>
      <x v="4"/>
    </i>
    <i>
      <x v="5"/>
    </i>
    <i t="grand">
      <x/>
    </i>
  </rowItems>
  <colItems count="1">
    <i/>
  </colItems>
  <dataFields count="1">
    <dataField name="Sum of Total_Sales" fld="10" baseField="7" baseItem="0" numFmtId="167"/>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10" firstHeaderRow="1" firstDataRow="1" firstDataCol="1"/>
  <pivotFields count="12">
    <pivotField showAll="0"/>
    <pivotField showAll="0"/>
    <pivotField axis="axisRow" showAll="0" sortType="descending">
      <items count="7">
        <item x="2"/>
        <item x="0"/>
        <item x="5"/>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defaultSubtotal="0">
      <items count="4">
        <item x="0"/>
        <item x="1"/>
        <item x="2"/>
        <item x="3"/>
      </items>
    </pivotField>
  </pivotFields>
  <rowFields count="1">
    <field x="2"/>
  </rowFields>
  <rowItems count="7">
    <i>
      <x v="1"/>
    </i>
    <i>
      <x v="4"/>
    </i>
    <i>
      <x v="2"/>
    </i>
    <i>
      <x v="3"/>
    </i>
    <i>
      <x/>
    </i>
    <i>
      <x v="5"/>
    </i>
    <i t="grand">
      <x/>
    </i>
  </rowItems>
  <colItems count="1">
    <i/>
  </colItems>
  <dataFields count="1">
    <dataField name="Sum of Total_Sales" fld="10" baseField="2" baseItem="2" numFmtId="167"/>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D2" firstHeaderRow="1" firstDataRow="1" firstDataCol="0"/>
  <pivotFields count="12">
    <pivotField showAll="0"/>
    <pivotField showAll="0"/>
    <pivotField showAll="0">
      <items count="7">
        <item x="3"/>
        <item x="4"/>
        <item x="1"/>
        <item x="5"/>
        <item x="0"/>
        <item x="2"/>
        <item t="default"/>
      </items>
    </pivotField>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defaultSubtotal="0">
      <items count="4">
        <item x="0"/>
        <item x="1"/>
        <item x="2"/>
        <item x="3"/>
      </items>
    </pivotField>
  </pivotFields>
  <rowItems count="1">
    <i/>
  </rowItems>
  <colItems count="1">
    <i/>
  </colItems>
  <dataFields count="1">
    <dataField name="Sum of Rating" fld="8"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12">
    <pivotField showAll="0"/>
    <pivotField showAll="0"/>
    <pivotField showAll="0">
      <items count="7">
        <item x="3"/>
        <item x="4"/>
        <item x="1"/>
        <item x="5"/>
        <item x="0"/>
        <item x="2"/>
        <item t="default"/>
      </items>
    </pivotField>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defaultSubtotal="0">
      <items count="4">
        <item x="0"/>
        <item x="1"/>
        <item x="2"/>
        <item x="3"/>
      </items>
    </pivotField>
  </pivotFields>
  <rowItems count="1">
    <i/>
  </rowItems>
  <colItems count="1">
    <i/>
  </colItems>
  <dataFields count="1">
    <dataField name="Sum of Total_Sales" fld="10" baseField="0"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G3:H8" firstHeaderRow="1" firstDataRow="1" firstDataCol="1"/>
  <pivotFields count="12">
    <pivotField dataField="1" showAll="0"/>
    <pivotField showAll="0"/>
    <pivotField showAll="0">
      <items count="7">
        <item x="3"/>
        <item x="4"/>
        <item x="1"/>
        <item x="5"/>
        <item x="0"/>
        <item x="2"/>
        <item t="default"/>
      </items>
    </pivotField>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5">
        <item x="3"/>
        <item x="0"/>
        <item x="1"/>
        <item x="2"/>
        <item t="default"/>
      </items>
    </pivotField>
    <pivotField showAl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Count of Order_ID" fld="0" subtotal="count"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E3:F10" firstHeaderRow="1" firstDataRow="1" firstDataCol="1"/>
  <pivotFields count="12">
    <pivotField dataField="1" showAll="0"/>
    <pivotField showAll="0"/>
    <pivotField showAll="0">
      <items count="7">
        <item x="3"/>
        <item x="4"/>
        <item x="1"/>
        <item x="5"/>
        <item x="0"/>
        <item x="2"/>
        <item t="default"/>
      </items>
    </pivotField>
    <pivotField showAll="0"/>
    <pivotField showAll="0"/>
    <pivotField axis="axisRow" showAll="0">
      <items count="7">
        <item x="1"/>
        <item x="5"/>
        <item x="3"/>
        <item x="2"/>
        <item x="4"/>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defaultSubtotal="0">
      <items count="4">
        <item x="0"/>
        <item x="1"/>
        <item x="2"/>
        <item x="3"/>
      </items>
    </pivotField>
  </pivotFields>
  <rowFields count="1">
    <field x="5"/>
  </rowFields>
  <rowItems count="7">
    <i>
      <x/>
    </i>
    <i>
      <x v="1"/>
    </i>
    <i>
      <x v="2"/>
    </i>
    <i>
      <x v="3"/>
    </i>
    <i>
      <x v="4"/>
    </i>
    <i>
      <x v="5"/>
    </i>
    <i t="grand">
      <x/>
    </i>
  </rowItems>
  <colItems count="1">
    <i/>
  </colItems>
  <dataFields count="1">
    <dataField name="Count of Order_ID" fld="0" subtotal="count" baseField="5" baseItem="0"/>
  </dataFields>
  <chartFormats count="7">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0"/>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0"/>
          </reference>
          <reference field="5" count="1" selected="0">
            <x v="2"/>
          </reference>
        </references>
      </pivotArea>
    </chartFormat>
    <chartFormat chart="8" format="5">
      <pivotArea type="data" outline="0" fieldPosition="0">
        <references count="2">
          <reference field="4294967294" count="1" selected="0">
            <x v="0"/>
          </reference>
          <reference field="5" count="1" selected="0">
            <x v="3"/>
          </reference>
        </references>
      </pivotArea>
    </chartFormat>
    <chartFormat chart="8" format="6">
      <pivotArea type="data" outline="0" fieldPosition="0">
        <references count="2">
          <reference field="4294967294" count="1" selected="0">
            <x v="0"/>
          </reference>
          <reference field="5" count="1" selected="0">
            <x v="4"/>
          </reference>
        </references>
      </pivotArea>
    </chartFormat>
    <chartFormat chart="8" format="7">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3" name="PivotTable10"/>
    <pivotTable tabId="3" name="PivotTable1"/>
    <pivotTable tabId="3" name="PivotTable11"/>
    <pivotTable tabId="3" name="PivotTable2"/>
    <pivotTable tabId="3" name="PivotTable3"/>
    <pivotTable tabId="3" name="PivotTable4"/>
    <pivotTable tabId="3" name="PivotTable7"/>
    <pivotTable tabId="3" name="PivotTable8"/>
    <pivotTable tabId="3" name="PivotTable9"/>
  </pivotTables>
  <data>
    <tabular pivotCacheId="1">
      <items count="6">
        <i x="3" s="1"/>
        <i x="4" s="1"/>
        <i x="1"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396000"/>
</slicers>
</file>

<file path=xl/tables/table1.xml><?xml version="1.0" encoding="utf-8"?>
<table xmlns="http://schemas.openxmlformats.org/spreadsheetml/2006/main" id="3" name="Ecommerce_Data" displayName="Ecommerce_Data" ref="A1:K96" totalsRowShown="0" headerRowDxfId="3" headerRowBorderDxfId="2" tableBorderDxfId="1">
  <autoFilter ref="A1:K96"/>
  <tableColumns count="11">
    <tableColumn id="1" name="Order_ID"/>
    <tableColumn id="2" name="Customer_ID"/>
    <tableColumn id="3" name="Product_Category"/>
    <tableColumn id="4" name="Product_Price"/>
    <tableColumn id="5" name="Quantity"/>
    <tableColumn id="6" name="Payment_Method"/>
    <tableColumn id="7" name="Order_Date" dataDxfId="0"/>
    <tableColumn id="8" name="Customer_Country"/>
    <tableColumn id="9" name="Rating"/>
    <tableColumn id="10" name="Shipment_Status"/>
    <tableColumn id="11" name="Total_Sales">
      <calculatedColumnFormula>D2*E2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01"/>
  <sheetViews>
    <sheetView workbookViewId="0">
      <selection activeCell="B2" sqref="B2"/>
    </sheetView>
  </sheetViews>
  <sheetFormatPr defaultRowHeight="14.4" x14ac:dyDescent="0.3"/>
  <cols>
    <col min="2" max="2" width="22.88671875" customWidth="1"/>
    <col min="3" max="3" width="16.88671875" customWidth="1"/>
    <col min="4" max="4" width="23" customWidth="1"/>
    <col min="5" max="5" width="16.21875" customWidth="1"/>
    <col min="6" max="6" width="18.109375" customWidth="1"/>
    <col min="7" max="7" width="28.88671875" customWidth="1"/>
    <col min="8" max="8" width="16.88671875" customWidth="1"/>
    <col min="9" max="9" width="17.44140625" customWidth="1"/>
    <col min="10" max="10" width="16.8867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110</v>
      </c>
      <c r="C2" t="s">
        <v>156</v>
      </c>
      <c r="D2">
        <v>811.63</v>
      </c>
      <c r="E2">
        <v>3</v>
      </c>
      <c r="F2" t="s">
        <v>162</v>
      </c>
      <c r="G2" s="2">
        <v>45516</v>
      </c>
      <c r="H2" t="s">
        <v>167</v>
      </c>
      <c r="I2">
        <v>5</v>
      </c>
      <c r="J2" t="s">
        <v>173</v>
      </c>
    </row>
    <row r="3" spans="1:10" x14ac:dyDescent="0.3">
      <c r="A3" t="s">
        <v>11</v>
      </c>
      <c r="B3" t="s">
        <v>111</v>
      </c>
      <c r="C3" t="s">
        <v>156</v>
      </c>
      <c r="D3">
        <v>1906.36</v>
      </c>
      <c r="E3">
        <v>4</v>
      </c>
      <c r="F3" t="s">
        <v>163</v>
      </c>
      <c r="G3" s="2">
        <v>45417</v>
      </c>
      <c r="H3" t="s">
        <v>168</v>
      </c>
      <c r="I3">
        <v>4</v>
      </c>
      <c r="J3" t="s">
        <v>174</v>
      </c>
    </row>
    <row r="4" spans="1:10" x14ac:dyDescent="0.3">
      <c r="A4" t="s">
        <v>12</v>
      </c>
      <c r="B4" t="s">
        <v>112</v>
      </c>
      <c r="C4" t="s">
        <v>157</v>
      </c>
      <c r="D4">
        <v>1490.79</v>
      </c>
      <c r="E4">
        <v>3</v>
      </c>
      <c r="F4" t="s">
        <v>162</v>
      </c>
      <c r="G4" s="2">
        <v>45421</v>
      </c>
      <c r="H4" t="s">
        <v>169</v>
      </c>
      <c r="I4">
        <v>2</v>
      </c>
      <c r="J4" t="s">
        <v>175</v>
      </c>
    </row>
    <row r="5" spans="1:10" x14ac:dyDescent="0.3">
      <c r="A5" t="s">
        <v>13</v>
      </c>
      <c r="B5" t="s">
        <v>113</v>
      </c>
      <c r="C5" t="s">
        <v>158</v>
      </c>
      <c r="D5">
        <v>1237.45</v>
      </c>
      <c r="E5">
        <v>1</v>
      </c>
      <c r="G5" s="2">
        <v>45344</v>
      </c>
      <c r="H5" t="s">
        <v>168</v>
      </c>
      <c r="I5">
        <v>1</v>
      </c>
      <c r="J5" t="s">
        <v>173</v>
      </c>
    </row>
    <row r="6" spans="1:10" x14ac:dyDescent="0.3">
      <c r="A6" t="s">
        <v>14</v>
      </c>
      <c r="B6" t="s">
        <v>114</v>
      </c>
      <c r="C6" t="s">
        <v>159</v>
      </c>
      <c r="D6">
        <v>396.44</v>
      </c>
      <c r="E6">
        <v>4</v>
      </c>
      <c r="F6" t="s">
        <v>164</v>
      </c>
      <c r="G6" s="2">
        <v>45463</v>
      </c>
      <c r="H6" t="s">
        <v>167</v>
      </c>
      <c r="I6">
        <v>1</v>
      </c>
      <c r="J6" t="s">
        <v>173</v>
      </c>
    </row>
    <row r="7" spans="1:10" x14ac:dyDescent="0.3">
      <c r="A7" t="s">
        <v>15</v>
      </c>
      <c r="B7" t="s">
        <v>115</v>
      </c>
      <c r="C7" t="s">
        <v>160</v>
      </c>
      <c r="D7">
        <v>396.39</v>
      </c>
      <c r="E7">
        <v>1</v>
      </c>
      <c r="F7" t="s">
        <v>165</v>
      </c>
      <c r="G7" s="2">
        <v>45509</v>
      </c>
      <c r="H7" t="s">
        <v>170</v>
      </c>
      <c r="I7">
        <v>3</v>
      </c>
      <c r="J7" t="s">
        <v>175</v>
      </c>
    </row>
    <row r="8" spans="1:10" x14ac:dyDescent="0.3">
      <c r="A8" t="s">
        <v>16</v>
      </c>
      <c r="B8" t="s">
        <v>116</v>
      </c>
      <c r="C8" t="s">
        <v>158</v>
      </c>
      <c r="D8">
        <v>210.36</v>
      </c>
      <c r="E8">
        <v>4</v>
      </c>
      <c r="F8" t="s">
        <v>162</v>
      </c>
      <c r="G8" s="2">
        <v>45451</v>
      </c>
      <c r="H8" t="s">
        <v>169</v>
      </c>
      <c r="I8">
        <v>4</v>
      </c>
      <c r="J8" t="s">
        <v>173</v>
      </c>
    </row>
    <row r="9" spans="1:10" x14ac:dyDescent="0.3">
      <c r="A9" t="s">
        <v>17</v>
      </c>
      <c r="B9" t="s">
        <v>117</v>
      </c>
      <c r="C9" t="s">
        <v>161</v>
      </c>
      <c r="D9">
        <v>1745.73</v>
      </c>
      <c r="E9">
        <v>4</v>
      </c>
      <c r="F9" t="s">
        <v>165</v>
      </c>
      <c r="G9" s="2">
        <v>45489</v>
      </c>
      <c r="H9" t="s">
        <v>170</v>
      </c>
      <c r="I9">
        <v>2</v>
      </c>
      <c r="J9" t="s">
        <v>173</v>
      </c>
    </row>
    <row r="10" spans="1:10" x14ac:dyDescent="0.3">
      <c r="A10" t="s">
        <v>18</v>
      </c>
      <c r="B10" t="s">
        <v>118</v>
      </c>
      <c r="C10" t="s">
        <v>156</v>
      </c>
      <c r="D10">
        <v>1242.1199999999999</v>
      </c>
      <c r="E10">
        <v>2</v>
      </c>
      <c r="F10" t="s">
        <v>163</v>
      </c>
      <c r="G10" s="2">
        <v>45538</v>
      </c>
      <c r="H10" t="s">
        <v>169</v>
      </c>
      <c r="I10">
        <v>1</v>
      </c>
      <c r="J10" t="s">
        <v>176</v>
      </c>
    </row>
    <row r="11" spans="1:10" x14ac:dyDescent="0.3">
      <c r="A11" t="s">
        <v>19</v>
      </c>
      <c r="B11" t="s">
        <v>119</v>
      </c>
      <c r="C11" t="s">
        <v>161</v>
      </c>
      <c r="D11">
        <v>1445.34</v>
      </c>
      <c r="E11">
        <v>1</v>
      </c>
      <c r="F11" t="s">
        <v>162</v>
      </c>
      <c r="G11" s="2">
        <v>45615</v>
      </c>
      <c r="H11" t="s">
        <v>170</v>
      </c>
      <c r="I11">
        <v>1</v>
      </c>
      <c r="J11" t="s">
        <v>176</v>
      </c>
    </row>
    <row r="12" spans="1:10" x14ac:dyDescent="0.3">
      <c r="A12" t="s">
        <v>20</v>
      </c>
      <c r="B12" t="s">
        <v>120</v>
      </c>
      <c r="C12" t="s">
        <v>157</v>
      </c>
      <c r="D12">
        <v>139.11000000000001</v>
      </c>
      <c r="E12">
        <v>3</v>
      </c>
      <c r="F12" t="s">
        <v>164</v>
      </c>
      <c r="G12" s="2">
        <v>45494</v>
      </c>
      <c r="H12" t="s">
        <v>171</v>
      </c>
      <c r="I12">
        <v>1</v>
      </c>
      <c r="J12" t="s">
        <v>173</v>
      </c>
    </row>
    <row r="13" spans="1:10" x14ac:dyDescent="0.3">
      <c r="A13" t="s">
        <v>21</v>
      </c>
      <c r="B13" t="s">
        <v>121</v>
      </c>
      <c r="C13" t="s">
        <v>157</v>
      </c>
      <c r="D13">
        <v>1942.83</v>
      </c>
      <c r="E13">
        <v>3</v>
      </c>
      <c r="F13" t="s">
        <v>162</v>
      </c>
      <c r="G13" s="2">
        <v>45475</v>
      </c>
      <c r="H13" t="s">
        <v>171</v>
      </c>
      <c r="I13">
        <v>1</v>
      </c>
      <c r="J13" t="s">
        <v>174</v>
      </c>
    </row>
    <row r="14" spans="1:10" x14ac:dyDescent="0.3">
      <c r="A14" t="s">
        <v>22</v>
      </c>
      <c r="B14" t="s">
        <v>122</v>
      </c>
      <c r="C14" t="s">
        <v>161</v>
      </c>
      <c r="D14">
        <v>1681.64</v>
      </c>
      <c r="E14">
        <v>1</v>
      </c>
      <c r="F14" t="s">
        <v>164</v>
      </c>
      <c r="G14" s="2">
        <v>45414</v>
      </c>
      <c r="H14" t="s">
        <v>172</v>
      </c>
      <c r="I14">
        <v>2</v>
      </c>
      <c r="J14" t="s">
        <v>173</v>
      </c>
    </row>
    <row r="15" spans="1:10" x14ac:dyDescent="0.3">
      <c r="A15" t="s">
        <v>23</v>
      </c>
      <c r="B15" t="s">
        <v>112</v>
      </c>
      <c r="C15" t="s">
        <v>157</v>
      </c>
      <c r="D15">
        <v>503.44</v>
      </c>
      <c r="E15">
        <v>3</v>
      </c>
      <c r="F15" t="s">
        <v>166</v>
      </c>
      <c r="G15" s="2">
        <v>45546</v>
      </c>
      <c r="H15" t="s">
        <v>170</v>
      </c>
      <c r="I15">
        <v>1</v>
      </c>
      <c r="J15" t="s">
        <v>174</v>
      </c>
    </row>
    <row r="16" spans="1:10" x14ac:dyDescent="0.3">
      <c r="A16" t="s">
        <v>24</v>
      </c>
      <c r="B16" t="s">
        <v>111</v>
      </c>
      <c r="C16" t="s">
        <v>157</v>
      </c>
      <c r="D16">
        <v>445.47</v>
      </c>
      <c r="E16">
        <v>3</v>
      </c>
      <c r="F16" t="s">
        <v>166</v>
      </c>
      <c r="G16" s="2">
        <v>45585</v>
      </c>
      <c r="H16" t="s">
        <v>170</v>
      </c>
      <c r="I16">
        <v>4</v>
      </c>
      <c r="J16" t="s">
        <v>176</v>
      </c>
    </row>
    <row r="17" spans="1:10" x14ac:dyDescent="0.3">
      <c r="A17" t="s">
        <v>25</v>
      </c>
      <c r="B17" t="s">
        <v>123</v>
      </c>
      <c r="C17" t="s">
        <v>157</v>
      </c>
      <c r="D17">
        <v>448.47</v>
      </c>
      <c r="E17">
        <v>1</v>
      </c>
      <c r="F17" t="s">
        <v>166</v>
      </c>
      <c r="G17" s="2">
        <v>45571</v>
      </c>
      <c r="H17" t="s">
        <v>172</v>
      </c>
      <c r="I17">
        <v>3</v>
      </c>
      <c r="J17" t="s">
        <v>173</v>
      </c>
    </row>
    <row r="18" spans="1:10" x14ac:dyDescent="0.3">
      <c r="A18" t="s">
        <v>26</v>
      </c>
      <c r="B18" t="s">
        <v>124</v>
      </c>
      <c r="C18" t="s">
        <v>160</v>
      </c>
      <c r="D18">
        <v>678.06</v>
      </c>
      <c r="E18">
        <v>4</v>
      </c>
      <c r="F18" t="s">
        <v>166</v>
      </c>
      <c r="G18" s="2">
        <v>45616</v>
      </c>
      <c r="H18" t="s">
        <v>172</v>
      </c>
      <c r="I18">
        <v>5</v>
      </c>
      <c r="J18" t="s">
        <v>173</v>
      </c>
    </row>
    <row r="19" spans="1:10" x14ac:dyDescent="0.3">
      <c r="A19" t="s">
        <v>27</v>
      </c>
      <c r="B19" t="s">
        <v>125</v>
      </c>
      <c r="C19" t="s">
        <v>161</v>
      </c>
      <c r="D19">
        <v>1097.04</v>
      </c>
      <c r="E19">
        <v>1</v>
      </c>
      <c r="F19" t="s">
        <v>166</v>
      </c>
      <c r="G19" s="2">
        <v>45389</v>
      </c>
      <c r="H19" t="s">
        <v>170</v>
      </c>
      <c r="I19">
        <v>3</v>
      </c>
      <c r="J19" t="s">
        <v>174</v>
      </c>
    </row>
    <row r="20" spans="1:10" x14ac:dyDescent="0.3">
      <c r="A20" t="s">
        <v>28</v>
      </c>
      <c r="B20" t="s">
        <v>126</v>
      </c>
      <c r="C20" t="s">
        <v>161</v>
      </c>
      <c r="D20">
        <v>920.7</v>
      </c>
      <c r="E20">
        <v>4</v>
      </c>
      <c r="F20" t="s">
        <v>164</v>
      </c>
      <c r="G20" s="2">
        <v>45489</v>
      </c>
      <c r="H20" t="s">
        <v>168</v>
      </c>
      <c r="J20" t="s">
        <v>173</v>
      </c>
    </row>
    <row r="21" spans="1:10" x14ac:dyDescent="0.3">
      <c r="A21" t="s">
        <v>29</v>
      </c>
      <c r="B21" t="s">
        <v>120</v>
      </c>
      <c r="C21" t="s">
        <v>160</v>
      </c>
      <c r="D21">
        <v>653.34</v>
      </c>
      <c r="E21">
        <v>3</v>
      </c>
      <c r="F21" t="s">
        <v>165</v>
      </c>
      <c r="G21" s="2">
        <v>45531</v>
      </c>
      <c r="H21" t="s">
        <v>171</v>
      </c>
      <c r="I21">
        <v>3</v>
      </c>
      <c r="J21" t="s">
        <v>174</v>
      </c>
    </row>
    <row r="22" spans="1:10" x14ac:dyDescent="0.3">
      <c r="A22" t="s">
        <v>30</v>
      </c>
      <c r="B22" t="s">
        <v>127</v>
      </c>
      <c r="C22" t="s">
        <v>156</v>
      </c>
      <c r="D22">
        <v>1262.52</v>
      </c>
      <c r="E22">
        <v>3</v>
      </c>
      <c r="F22" t="s">
        <v>163</v>
      </c>
      <c r="G22" s="2">
        <v>45435</v>
      </c>
      <c r="H22" t="s">
        <v>172</v>
      </c>
      <c r="I22">
        <v>2</v>
      </c>
      <c r="J22" t="s">
        <v>173</v>
      </c>
    </row>
    <row r="23" spans="1:10" x14ac:dyDescent="0.3">
      <c r="A23" t="s">
        <v>31</v>
      </c>
      <c r="B23" t="s">
        <v>128</v>
      </c>
      <c r="C23" t="s">
        <v>156</v>
      </c>
      <c r="D23">
        <v>365.04</v>
      </c>
      <c r="E23">
        <v>3</v>
      </c>
      <c r="F23" t="s">
        <v>164</v>
      </c>
      <c r="G23" s="2">
        <v>45388</v>
      </c>
      <c r="H23" t="s">
        <v>169</v>
      </c>
      <c r="I23">
        <v>3</v>
      </c>
      <c r="J23" t="s">
        <v>175</v>
      </c>
    </row>
    <row r="24" spans="1:10" x14ac:dyDescent="0.3">
      <c r="A24" t="s">
        <v>32</v>
      </c>
      <c r="B24" t="s">
        <v>129</v>
      </c>
      <c r="C24" t="s">
        <v>161</v>
      </c>
      <c r="D24">
        <v>655.07000000000005</v>
      </c>
      <c r="E24">
        <v>2</v>
      </c>
      <c r="F24" t="s">
        <v>163</v>
      </c>
      <c r="G24" s="2">
        <v>45492</v>
      </c>
      <c r="H24" t="s">
        <v>171</v>
      </c>
      <c r="I24">
        <v>2</v>
      </c>
      <c r="J24" t="s">
        <v>175</v>
      </c>
    </row>
    <row r="25" spans="1:10" x14ac:dyDescent="0.3">
      <c r="A25" t="s">
        <v>33</v>
      </c>
      <c r="B25" t="s">
        <v>130</v>
      </c>
      <c r="C25" t="s">
        <v>158</v>
      </c>
      <c r="D25">
        <v>796.09</v>
      </c>
      <c r="E25">
        <v>4</v>
      </c>
      <c r="F25" t="s">
        <v>162</v>
      </c>
      <c r="G25" s="2">
        <v>45415</v>
      </c>
      <c r="H25" t="s">
        <v>172</v>
      </c>
      <c r="I25">
        <v>5</v>
      </c>
      <c r="J25" t="s">
        <v>174</v>
      </c>
    </row>
    <row r="26" spans="1:10" x14ac:dyDescent="0.3">
      <c r="A26" t="s">
        <v>34</v>
      </c>
      <c r="B26" t="s">
        <v>131</v>
      </c>
      <c r="C26" t="s">
        <v>157</v>
      </c>
      <c r="D26">
        <v>966.53</v>
      </c>
      <c r="E26">
        <v>2</v>
      </c>
      <c r="F26" t="s">
        <v>165</v>
      </c>
      <c r="G26" s="2">
        <v>45478</v>
      </c>
      <c r="H26" t="s">
        <v>170</v>
      </c>
      <c r="I26">
        <v>1</v>
      </c>
      <c r="J26" t="s">
        <v>176</v>
      </c>
    </row>
    <row r="27" spans="1:10" x14ac:dyDescent="0.3">
      <c r="A27" t="s">
        <v>35</v>
      </c>
      <c r="B27" t="s">
        <v>132</v>
      </c>
      <c r="C27" t="s">
        <v>156</v>
      </c>
      <c r="D27">
        <v>1591.83</v>
      </c>
      <c r="E27">
        <v>2</v>
      </c>
      <c r="F27" t="s">
        <v>163</v>
      </c>
      <c r="G27" s="2">
        <v>45617</v>
      </c>
      <c r="H27" t="s">
        <v>171</v>
      </c>
      <c r="I27">
        <v>5</v>
      </c>
      <c r="J27" t="s">
        <v>174</v>
      </c>
    </row>
    <row r="28" spans="1:10" x14ac:dyDescent="0.3">
      <c r="A28" t="s">
        <v>36</v>
      </c>
      <c r="B28" t="s">
        <v>133</v>
      </c>
      <c r="C28" t="s">
        <v>159</v>
      </c>
      <c r="D28">
        <v>479.38</v>
      </c>
      <c r="E28">
        <v>1</v>
      </c>
      <c r="F28" t="s">
        <v>166</v>
      </c>
      <c r="G28" s="2">
        <v>45640</v>
      </c>
      <c r="H28" t="s">
        <v>168</v>
      </c>
      <c r="I28">
        <v>5</v>
      </c>
      <c r="J28" t="s">
        <v>174</v>
      </c>
    </row>
    <row r="29" spans="1:10" x14ac:dyDescent="0.3">
      <c r="A29" t="s">
        <v>37</v>
      </c>
      <c r="B29" t="s">
        <v>134</v>
      </c>
      <c r="C29" t="s">
        <v>157</v>
      </c>
      <c r="D29">
        <v>1077.05</v>
      </c>
      <c r="E29">
        <v>2</v>
      </c>
      <c r="F29" t="s">
        <v>163</v>
      </c>
      <c r="G29" s="2">
        <v>45550</v>
      </c>
      <c r="H29" t="s">
        <v>172</v>
      </c>
      <c r="J29" t="s">
        <v>174</v>
      </c>
    </row>
    <row r="30" spans="1:10" x14ac:dyDescent="0.3">
      <c r="A30" t="s">
        <v>38</v>
      </c>
      <c r="B30" t="s">
        <v>121</v>
      </c>
      <c r="C30" t="s">
        <v>159</v>
      </c>
      <c r="D30">
        <v>1225.5899999999999</v>
      </c>
      <c r="E30">
        <v>1</v>
      </c>
      <c r="F30" t="s">
        <v>164</v>
      </c>
      <c r="G30" s="2">
        <v>45439</v>
      </c>
      <c r="H30" t="s">
        <v>167</v>
      </c>
      <c r="I30">
        <v>4</v>
      </c>
      <c r="J30" t="s">
        <v>174</v>
      </c>
    </row>
    <row r="31" spans="1:10" hidden="1" x14ac:dyDescent="0.3">
      <c r="A31" t="s">
        <v>39</v>
      </c>
      <c r="B31" t="s">
        <v>135</v>
      </c>
      <c r="C31" t="s">
        <v>159</v>
      </c>
      <c r="E31">
        <v>1</v>
      </c>
      <c r="G31" s="2">
        <v>45543</v>
      </c>
      <c r="H31" t="s">
        <v>168</v>
      </c>
      <c r="I31">
        <v>1</v>
      </c>
      <c r="J31" t="s">
        <v>174</v>
      </c>
    </row>
    <row r="32" spans="1:10" x14ac:dyDescent="0.3">
      <c r="A32" t="s">
        <v>40</v>
      </c>
      <c r="B32" t="s">
        <v>127</v>
      </c>
      <c r="C32" t="s">
        <v>160</v>
      </c>
      <c r="D32">
        <v>1254.3399999999999</v>
      </c>
      <c r="E32">
        <v>2</v>
      </c>
      <c r="F32" t="s">
        <v>162</v>
      </c>
      <c r="G32" s="2">
        <v>45637</v>
      </c>
      <c r="H32" t="s">
        <v>170</v>
      </c>
      <c r="I32">
        <v>2</v>
      </c>
      <c r="J32" t="s">
        <v>174</v>
      </c>
    </row>
    <row r="33" spans="1:10" x14ac:dyDescent="0.3">
      <c r="A33" t="s">
        <v>41</v>
      </c>
      <c r="B33" t="s">
        <v>136</v>
      </c>
      <c r="C33" t="s">
        <v>159</v>
      </c>
      <c r="D33">
        <v>424</v>
      </c>
      <c r="E33">
        <v>4</v>
      </c>
      <c r="F33" t="s">
        <v>165</v>
      </c>
      <c r="G33" s="2">
        <v>45438</v>
      </c>
      <c r="H33" t="s">
        <v>170</v>
      </c>
      <c r="I33">
        <v>3</v>
      </c>
      <c r="J33" t="s">
        <v>176</v>
      </c>
    </row>
    <row r="34" spans="1:10" x14ac:dyDescent="0.3">
      <c r="A34" t="s">
        <v>42</v>
      </c>
      <c r="B34" t="s">
        <v>131</v>
      </c>
      <c r="C34" t="s">
        <v>160</v>
      </c>
      <c r="D34">
        <v>223.6</v>
      </c>
      <c r="E34">
        <v>4</v>
      </c>
      <c r="G34" s="2">
        <v>45439</v>
      </c>
      <c r="H34" t="s">
        <v>172</v>
      </c>
      <c r="I34">
        <v>5</v>
      </c>
      <c r="J34" t="s">
        <v>175</v>
      </c>
    </row>
    <row r="35" spans="1:10" x14ac:dyDescent="0.3">
      <c r="A35" t="s">
        <v>43</v>
      </c>
      <c r="B35" t="s">
        <v>137</v>
      </c>
      <c r="C35" t="s">
        <v>160</v>
      </c>
      <c r="D35">
        <v>1902.88</v>
      </c>
      <c r="E35">
        <v>4</v>
      </c>
      <c r="F35" t="s">
        <v>166</v>
      </c>
      <c r="G35" s="2">
        <v>45643</v>
      </c>
      <c r="H35" t="s">
        <v>167</v>
      </c>
      <c r="I35">
        <v>1</v>
      </c>
      <c r="J35" t="s">
        <v>176</v>
      </c>
    </row>
    <row r="36" spans="1:10" x14ac:dyDescent="0.3">
      <c r="A36" t="s">
        <v>44</v>
      </c>
      <c r="B36" t="s">
        <v>138</v>
      </c>
      <c r="C36" t="s">
        <v>159</v>
      </c>
      <c r="D36">
        <v>1934.7</v>
      </c>
      <c r="E36">
        <v>4</v>
      </c>
      <c r="F36" t="s">
        <v>162</v>
      </c>
      <c r="G36" s="2">
        <v>45490</v>
      </c>
      <c r="H36" t="s">
        <v>169</v>
      </c>
      <c r="I36">
        <v>5</v>
      </c>
      <c r="J36" t="s">
        <v>175</v>
      </c>
    </row>
    <row r="37" spans="1:10" hidden="1" x14ac:dyDescent="0.3">
      <c r="A37" t="s">
        <v>45</v>
      </c>
      <c r="B37" t="s">
        <v>119</v>
      </c>
      <c r="C37" t="s">
        <v>159</v>
      </c>
      <c r="E37">
        <v>4</v>
      </c>
      <c r="F37" t="s">
        <v>166</v>
      </c>
      <c r="G37" s="2">
        <v>45599</v>
      </c>
      <c r="H37" t="s">
        <v>172</v>
      </c>
      <c r="I37">
        <v>1</v>
      </c>
      <c r="J37" t="s">
        <v>175</v>
      </c>
    </row>
    <row r="38" spans="1:10" x14ac:dyDescent="0.3">
      <c r="A38" t="s">
        <v>46</v>
      </c>
      <c r="B38" t="s">
        <v>139</v>
      </c>
      <c r="C38" t="s">
        <v>161</v>
      </c>
      <c r="D38">
        <v>678.77</v>
      </c>
      <c r="E38">
        <v>2</v>
      </c>
      <c r="F38" t="s">
        <v>165</v>
      </c>
      <c r="G38" s="2">
        <v>45419</v>
      </c>
      <c r="H38" t="s">
        <v>172</v>
      </c>
      <c r="I38">
        <v>4</v>
      </c>
      <c r="J38" t="s">
        <v>173</v>
      </c>
    </row>
    <row r="39" spans="1:10" x14ac:dyDescent="0.3">
      <c r="A39" t="s">
        <v>47</v>
      </c>
      <c r="B39" t="s">
        <v>140</v>
      </c>
      <c r="C39" t="s">
        <v>156</v>
      </c>
      <c r="D39">
        <v>285.58</v>
      </c>
      <c r="E39">
        <v>2</v>
      </c>
      <c r="F39" t="s">
        <v>166</v>
      </c>
      <c r="G39" s="2">
        <v>45330</v>
      </c>
      <c r="H39" t="s">
        <v>171</v>
      </c>
      <c r="I39">
        <v>2</v>
      </c>
      <c r="J39" t="s">
        <v>175</v>
      </c>
    </row>
    <row r="40" spans="1:10" x14ac:dyDescent="0.3">
      <c r="A40" t="s">
        <v>48</v>
      </c>
      <c r="B40" t="s">
        <v>141</v>
      </c>
      <c r="C40" t="s">
        <v>161</v>
      </c>
      <c r="D40">
        <v>1400.04</v>
      </c>
      <c r="E40">
        <v>3</v>
      </c>
      <c r="F40" t="s">
        <v>164</v>
      </c>
      <c r="G40" s="2">
        <v>45629</v>
      </c>
      <c r="H40" t="s">
        <v>168</v>
      </c>
      <c r="I40">
        <v>1</v>
      </c>
      <c r="J40" t="s">
        <v>174</v>
      </c>
    </row>
    <row r="41" spans="1:10" x14ac:dyDescent="0.3">
      <c r="A41" t="s">
        <v>49</v>
      </c>
      <c r="B41" t="s">
        <v>111</v>
      </c>
      <c r="C41" t="s">
        <v>156</v>
      </c>
      <c r="D41">
        <v>936.29</v>
      </c>
      <c r="E41">
        <v>4</v>
      </c>
      <c r="F41" t="s">
        <v>166</v>
      </c>
      <c r="G41" s="2">
        <v>45651</v>
      </c>
      <c r="H41" t="s">
        <v>167</v>
      </c>
      <c r="I41">
        <v>3</v>
      </c>
      <c r="J41" t="s">
        <v>173</v>
      </c>
    </row>
    <row r="42" spans="1:10" x14ac:dyDescent="0.3">
      <c r="A42" t="s">
        <v>50</v>
      </c>
      <c r="B42" t="s">
        <v>133</v>
      </c>
      <c r="C42" t="s">
        <v>158</v>
      </c>
      <c r="D42">
        <v>331.87</v>
      </c>
      <c r="E42">
        <v>2</v>
      </c>
      <c r="F42" t="s">
        <v>163</v>
      </c>
      <c r="G42" s="2">
        <v>45420</v>
      </c>
      <c r="H42" t="s">
        <v>169</v>
      </c>
      <c r="I42">
        <v>4</v>
      </c>
      <c r="J42" t="s">
        <v>175</v>
      </c>
    </row>
    <row r="43" spans="1:10" x14ac:dyDescent="0.3">
      <c r="A43" t="s">
        <v>51</v>
      </c>
      <c r="B43" t="s">
        <v>135</v>
      </c>
      <c r="C43" t="s">
        <v>158</v>
      </c>
      <c r="D43">
        <v>1040.8399999999999</v>
      </c>
      <c r="E43">
        <v>3</v>
      </c>
      <c r="F43" t="s">
        <v>162</v>
      </c>
      <c r="G43" s="2">
        <v>45558</v>
      </c>
      <c r="H43" t="s">
        <v>171</v>
      </c>
      <c r="I43">
        <v>2</v>
      </c>
      <c r="J43" t="s">
        <v>174</v>
      </c>
    </row>
    <row r="44" spans="1:10" hidden="1" x14ac:dyDescent="0.3">
      <c r="A44" t="s">
        <v>52</v>
      </c>
      <c r="B44" t="s">
        <v>122</v>
      </c>
      <c r="C44" t="s">
        <v>161</v>
      </c>
      <c r="E44">
        <v>4</v>
      </c>
      <c r="F44" t="s">
        <v>166</v>
      </c>
      <c r="G44" s="2">
        <v>45442</v>
      </c>
      <c r="H44" t="s">
        <v>172</v>
      </c>
      <c r="I44">
        <v>2</v>
      </c>
      <c r="J44" t="s">
        <v>175</v>
      </c>
    </row>
    <row r="45" spans="1:10" x14ac:dyDescent="0.3">
      <c r="A45" t="s">
        <v>53</v>
      </c>
      <c r="B45" t="s">
        <v>117</v>
      </c>
      <c r="C45" t="s">
        <v>160</v>
      </c>
      <c r="D45">
        <v>1827.71</v>
      </c>
      <c r="E45">
        <v>1</v>
      </c>
      <c r="F45" t="s">
        <v>165</v>
      </c>
      <c r="G45" s="2">
        <v>45589</v>
      </c>
      <c r="H45" t="s">
        <v>170</v>
      </c>
      <c r="I45">
        <v>2</v>
      </c>
      <c r="J45" t="s">
        <v>173</v>
      </c>
    </row>
    <row r="46" spans="1:10" x14ac:dyDescent="0.3">
      <c r="A46" t="s">
        <v>54</v>
      </c>
      <c r="B46" t="s">
        <v>142</v>
      </c>
      <c r="C46" t="s">
        <v>158</v>
      </c>
      <c r="D46">
        <v>591.67999999999995</v>
      </c>
      <c r="E46">
        <v>3</v>
      </c>
      <c r="F46" t="s">
        <v>163</v>
      </c>
      <c r="G46" s="2">
        <v>45390</v>
      </c>
      <c r="H46" t="s">
        <v>171</v>
      </c>
      <c r="I46">
        <v>4</v>
      </c>
      <c r="J46" t="s">
        <v>175</v>
      </c>
    </row>
    <row r="47" spans="1:10" x14ac:dyDescent="0.3">
      <c r="A47" t="s">
        <v>55</v>
      </c>
      <c r="B47" t="s">
        <v>143</v>
      </c>
      <c r="C47" t="s">
        <v>161</v>
      </c>
      <c r="D47">
        <v>1358.79</v>
      </c>
      <c r="E47">
        <v>2</v>
      </c>
      <c r="F47" t="s">
        <v>164</v>
      </c>
      <c r="G47" s="2">
        <v>45554</v>
      </c>
      <c r="H47" t="s">
        <v>170</v>
      </c>
      <c r="I47">
        <v>4</v>
      </c>
      <c r="J47" t="s">
        <v>173</v>
      </c>
    </row>
    <row r="48" spans="1:10" x14ac:dyDescent="0.3">
      <c r="A48" t="s">
        <v>56</v>
      </c>
      <c r="B48" t="s">
        <v>125</v>
      </c>
      <c r="C48" t="s">
        <v>161</v>
      </c>
      <c r="D48">
        <v>692.25</v>
      </c>
      <c r="E48">
        <v>1</v>
      </c>
      <c r="G48" s="2">
        <v>45543</v>
      </c>
      <c r="H48" t="s">
        <v>172</v>
      </c>
      <c r="I48">
        <v>4</v>
      </c>
      <c r="J48" t="s">
        <v>175</v>
      </c>
    </row>
    <row r="49" spans="1:10" x14ac:dyDescent="0.3">
      <c r="A49" t="s">
        <v>57</v>
      </c>
      <c r="B49" t="s">
        <v>143</v>
      </c>
      <c r="C49" t="s">
        <v>156</v>
      </c>
      <c r="D49">
        <v>1088.1300000000001</v>
      </c>
      <c r="E49">
        <v>1</v>
      </c>
      <c r="F49" t="s">
        <v>166</v>
      </c>
      <c r="G49" s="2">
        <v>45435</v>
      </c>
      <c r="H49" t="s">
        <v>171</v>
      </c>
      <c r="J49" t="s">
        <v>174</v>
      </c>
    </row>
    <row r="50" spans="1:10" x14ac:dyDescent="0.3">
      <c r="A50" t="s">
        <v>58</v>
      </c>
      <c r="B50" t="s">
        <v>140</v>
      </c>
      <c r="C50" t="s">
        <v>157</v>
      </c>
      <c r="D50">
        <v>1138.75</v>
      </c>
      <c r="E50">
        <v>1</v>
      </c>
      <c r="F50" t="s">
        <v>163</v>
      </c>
      <c r="G50" s="2">
        <v>45637</v>
      </c>
      <c r="H50" t="s">
        <v>170</v>
      </c>
      <c r="I50">
        <v>3</v>
      </c>
      <c r="J50" t="s">
        <v>174</v>
      </c>
    </row>
    <row r="51" spans="1:10" x14ac:dyDescent="0.3">
      <c r="A51" t="s">
        <v>59</v>
      </c>
      <c r="B51" t="s">
        <v>113</v>
      </c>
      <c r="C51" t="s">
        <v>160</v>
      </c>
      <c r="D51">
        <v>451.22</v>
      </c>
      <c r="E51">
        <v>3</v>
      </c>
      <c r="F51" t="s">
        <v>165</v>
      </c>
      <c r="G51" s="2">
        <v>45403</v>
      </c>
      <c r="H51" t="s">
        <v>172</v>
      </c>
      <c r="I51">
        <v>4</v>
      </c>
      <c r="J51" t="s">
        <v>176</v>
      </c>
    </row>
    <row r="52" spans="1:10" x14ac:dyDescent="0.3">
      <c r="A52" t="s">
        <v>60</v>
      </c>
      <c r="B52" t="s">
        <v>127</v>
      </c>
      <c r="C52" t="s">
        <v>158</v>
      </c>
      <c r="D52">
        <v>1942.21</v>
      </c>
      <c r="E52">
        <v>2</v>
      </c>
      <c r="F52" t="s">
        <v>163</v>
      </c>
      <c r="G52" s="2">
        <v>45351</v>
      </c>
      <c r="H52" t="s">
        <v>172</v>
      </c>
      <c r="I52">
        <v>5</v>
      </c>
      <c r="J52" t="s">
        <v>174</v>
      </c>
    </row>
    <row r="53" spans="1:10" x14ac:dyDescent="0.3">
      <c r="A53" t="s">
        <v>61</v>
      </c>
      <c r="B53" t="s">
        <v>144</v>
      </c>
      <c r="C53" t="s">
        <v>158</v>
      </c>
      <c r="D53">
        <v>1572.75</v>
      </c>
      <c r="E53">
        <v>1</v>
      </c>
      <c r="F53" t="s">
        <v>162</v>
      </c>
      <c r="G53" s="2">
        <v>45293</v>
      </c>
      <c r="H53" t="s">
        <v>171</v>
      </c>
      <c r="J53" t="s">
        <v>176</v>
      </c>
    </row>
    <row r="54" spans="1:10" x14ac:dyDescent="0.3">
      <c r="A54" t="s">
        <v>62</v>
      </c>
      <c r="B54" t="s">
        <v>145</v>
      </c>
      <c r="C54" t="s">
        <v>160</v>
      </c>
      <c r="D54">
        <v>1885.05</v>
      </c>
      <c r="E54">
        <v>4</v>
      </c>
      <c r="F54" t="s">
        <v>163</v>
      </c>
      <c r="G54" s="2">
        <v>45595</v>
      </c>
      <c r="H54" t="s">
        <v>171</v>
      </c>
      <c r="I54">
        <v>5</v>
      </c>
      <c r="J54" t="s">
        <v>173</v>
      </c>
    </row>
    <row r="55" spans="1:10" x14ac:dyDescent="0.3">
      <c r="A55" t="s">
        <v>63</v>
      </c>
      <c r="B55" t="s">
        <v>112</v>
      </c>
      <c r="C55" t="s">
        <v>161</v>
      </c>
      <c r="D55">
        <v>1800.17</v>
      </c>
      <c r="E55">
        <v>1</v>
      </c>
      <c r="F55" t="s">
        <v>165</v>
      </c>
      <c r="G55" s="2">
        <v>45545</v>
      </c>
      <c r="H55" t="s">
        <v>168</v>
      </c>
      <c r="I55">
        <v>4</v>
      </c>
      <c r="J55" t="s">
        <v>173</v>
      </c>
    </row>
    <row r="56" spans="1:10" x14ac:dyDescent="0.3">
      <c r="A56" t="s">
        <v>64</v>
      </c>
      <c r="B56" t="s">
        <v>146</v>
      </c>
      <c r="C56" t="s">
        <v>160</v>
      </c>
      <c r="D56">
        <v>1236.01</v>
      </c>
      <c r="E56">
        <v>1</v>
      </c>
      <c r="F56" t="s">
        <v>166</v>
      </c>
      <c r="G56" s="2">
        <v>45431</v>
      </c>
      <c r="H56" t="s">
        <v>167</v>
      </c>
      <c r="I56">
        <v>5</v>
      </c>
      <c r="J56" t="s">
        <v>176</v>
      </c>
    </row>
    <row r="57" spans="1:10" x14ac:dyDescent="0.3">
      <c r="A57" t="s">
        <v>65</v>
      </c>
      <c r="B57" t="s">
        <v>110</v>
      </c>
      <c r="C57" t="s">
        <v>156</v>
      </c>
      <c r="D57">
        <v>1851.56</v>
      </c>
      <c r="E57">
        <v>3</v>
      </c>
      <c r="F57" t="s">
        <v>166</v>
      </c>
      <c r="G57" s="2">
        <v>45328</v>
      </c>
      <c r="H57" t="s">
        <v>171</v>
      </c>
      <c r="I57">
        <v>2</v>
      </c>
      <c r="J57" t="s">
        <v>176</v>
      </c>
    </row>
    <row r="58" spans="1:10" x14ac:dyDescent="0.3">
      <c r="A58" t="s">
        <v>66</v>
      </c>
      <c r="B58" t="s">
        <v>121</v>
      </c>
      <c r="C58" t="s">
        <v>157</v>
      </c>
      <c r="D58">
        <v>268.14</v>
      </c>
      <c r="E58">
        <v>3</v>
      </c>
      <c r="F58" t="s">
        <v>163</v>
      </c>
      <c r="G58" s="2">
        <v>45451</v>
      </c>
      <c r="H58" t="s">
        <v>171</v>
      </c>
      <c r="J58" t="s">
        <v>175</v>
      </c>
    </row>
    <row r="59" spans="1:10" x14ac:dyDescent="0.3">
      <c r="A59" t="s">
        <v>67</v>
      </c>
      <c r="B59" t="s">
        <v>127</v>
      </c>
      <c r="C59" t="s">
        <v>161</v>
      </c>
      <c r="D59">
        <v>472.37</v>
      </c>
      <c r="E59">
        <v>2</v>
      </c>
      <c r="F59" t="s">
        <v>163</v>
      </c>
      <c r="G59" s="2">
        <v>45300</v>
      </c>
      <c r="H59" t="s">
        <v>167</v>
      </c>
      <c r="I59">
        <v>5</v>
      </c>
      <c r="J59" t="s">
        <v>174</v>
      </c>
    </row>
    <row r="60" spans="1:10" x14ac:dyDescent="0.3">
      <c r="A60" t="s">
        <v>68</v>
      </c>
      <c r="B60" t="s">
        <v>147</v>
      </c>
      <c r="C60" t="s">
        <v>161</v>
      </c>
      <c r="D60">
        <v>185.93</v>
      </c>
      <c r="E60">
        <v>4</v>
      </c>
      <c r="F60" t="s">
        <v>163</v>
      </c>
      <c r="G60" s="2">
        <v>45524</v>
      </c>
      <c r="H60" t="s">
        <v>168</v>
      </c>
      <c r="I60">
        <v>5</v>
      </c>
      <c r="J60" t="s">
        <v>173</v>
      </c>
    </row>
    <row r="61" spans="1:10" x14ac:dyDescent="0.3">
      <c r="A61" t="s">
        <v>69</v>
      </c>
      <c r="B61" t="s">
        <v>148</v>
      </c>
      <c r="C61" t="s">
        <v>156</v>
      </c>
      <c r="D61">
        <v>718.13</v>
      </c>
      <c r="E61">
        <v>3</v>
      </c>
      <c r="F61" t="s">
        <v>164</v>
      </c>
      <c r="G61" s="2">
        <v>45390</v>
      </c>
      <c r="H61" t="s">
        <v>168</v>
      </c>
      <c r="J61" t="s">
        <v>176</v>
      </c>
    </row>
    <row r="62" spans="1:10" x14ac:dyDescent="0.3">
      <c r="A62" t="s">
        <v>70</v>
      </c>
      <c r="B62" t="s">
        <v>142</v>
      </c>
      <c r="C62" t="s">
        <v>157</v>
      </c>
      <c r="D62">
        <v>838.49</v>
      </c>
      <c r="E62">
        <v>1</v>
      </c>
      <c r="F62" t="s">
        <v>163</v>
      </c>
      <c r="G62" s="2">
        <v>45438</v>
      </c>
      <c r="H62" t="s">
        <v>171</v>
      </c>
      <c r="I62">
        <v>1</v>
      </c>
      <c r="J62" t="s">
        <v>174</v>
      </c>
    </row>
    <row r="63" spans="1:10" x14ac:dyDescent="0.3">
      <c r="A63" t="s">
        <v>71</v>
      </c>
      <c r="B63" t="s">
        <v>140</v>
      </c>
      <c r="C63" t="s">
        <v>161</v>
      </c>
      <c r="D63">
        <v>615.55999999999995</v>
      </c>
      <c r="E63">
        <v>2</v>
      </c>
      <c r="F63" t="s">
        <v>163</v>
      </c>
      <c r="G63" s="2">
        <v>45595</v>
      </c>
      <c r="H63" t="s">
        <v>170</v>
      </c>
      <c r="I63">
        <v>5</v>
      </c>
      <c r="J63" t="s">
        <v>175</v>
      </c>
    </row>
    <row r="64" spans="1:10" x14ac:dyDescent="0.3">
      <c r="A64" t="s">
        <v>72</v>
      </c>
      <c r="B64" t="s">
        <v>145</v>
      </c>
      <c r="C64" t="s">
        <v>159</v>
      </c>
      <c r="D64">
        <v>1674.6</v>
      </c>
      <c r="E64">
        <v>1</v>
      </c>
      <c r="F64" t="s">
        <v>164</v>
      </c>
      <c r="G64" s="2">
        <v>45499</v>
      </c>
      <c r="H64" t="s">
        <v>170</v>
      </c>
      <c r="J64" t="s">
        <v>173</v>
      </c>
    </row>
    <row r="65" spans="1:10" x14ac:dyDescent="0.3">
      <c r="A65" t="s">
        <v>73</v>
      </c>
      <c r="B65" t="s">
        <v>120</v>
      </c>
      <c r="C65" t="s">
        <v>161</v>
      </c>
      <c r="D65">
        <v>777.83</v>
      </c>
      <c r="E65">
        <v>1</v>
      </c>
      <c r="F65" t="s">
        <v>166</v>
      </c>
      <c r="G65" s="2">
        <v>45422</v>
      </c>
      <c r="H65" t="s">
        <v>170</v>
      </c>
      <c r="J65" t="s">
        <v>175</v>
      </c>
    </row>
    <row r="66" spans="1:10" hidden="1" x14ac:dyDescent="0.3">
      <c r="A66" t="s">
        <v>74</v>
      </c>
      <c r="B66" t="s">
        <v>144</v>
      </c>
      <c r="C66" t="s">
        <v>160</v>
      </c>
      <c r="E66">
        <v>3</v>
      </c>
      <c r="F66" t="s">
        <v>164</v>
      </c>
      <c r="G66" s="2">
        <v>45443</v>
      </c>
      <c r="H66" t="s">
        <v>167</v>
      </c>
      <c r="J66" t="s">
        <v>174</v>
      </c>
    </row>
    <row r="67" spans="1:10" x14ac:dyDescent="0.3">
      <c r="A67" t="s">
        <v>75</v>
      </c>
      <c r="B67" t="s">
        <v>115</v>
      </c>
      <c r="C67" t="s">
        <v>160</v>
      </c>
      <c r="D67">
        <v>1131.1199999999999</v>
      </c>
      <c r="E67">
        <v>2</v>
      </c>
      <c r="F67" t="s">
        <v>166</v>
      </c>
      <c r="G67" s="2">
        <v>45345</v>
      </c>
      <c r="H67" t="s">
        <v>168</v>
      </c>
      <c r="I67">
        <v>3</v>
      </c>
      <c r="J67" t="s">
        <v>174</v>
      </c>
    </row>
    <row r="68" spans="1:10" x14ac:dyDescent="0.3">
      <c r="A68" t="s">
        <v>76</v>
      </c>
      <c r="B68" t="s">
        <v>149</v>
      </c>
      <c r="C68" t="s">
        <v>156</v>
      </c>
      <c r="D68">
        <v>367.76</v>
      </c>
      <c r="E68">
        <v>4</v>
      </c>
      <c r="F68" t="s">
        <v>165</v>
      </c>
      <c r="G68" s="2">
        <v>45411</v>
      </c>
      <c r="H68" t="s">
        <v>169</v>
      </c>
      <c r="I68">
        <v>5</v>
      </c>
      <c r="J68" t="s">
        <v>175</v>
      </c>
    </row>
    <row r="69" spans="1:10" x14ac:dyDescent="0.3">
      <c r="A69" t="s">
        <v>77</v>
      </c>
      <c r="B69" t="s">
        <v>136</v>
      </c>
      <c r="C69" t="s">
        <v>157</v>
      </c>
      <c r="D69">
        <v>1624.17</v>
      </c>
      <c r="E69">
        <v>4</v>
      </c>
      <c r="F69" t="s">
        <v>164</v>
      </c>
      <c r="G69" s="2">
        <v>45452</v>
      </c>
      <c r="H69" t="s">
        <v>167</v>
      </c>
      <c r="I69">
        <v>4</v>
      </c>
      <c r="J69" t="s">
        <v>175</v>
      </c>
    </row>
    <row r="70" spans="1:10" x14ac:dyDescent="0.3">
      <c r="A70" t="s">
        <v>78</v>
      </c>
      <c r="B70" t="s">
        <v>150</v>
      </c>
      <c r="C70" t="s">
        <v>159</v>
      </c>
      <c r="D70">
        <v>241.65</v>
      </c>
      <c r="E70">
        <v>3</v>
      </c>
      <c r="F70" t="s">
        <v>162</v>
      </c>
      <c r="G70" s="2">
        <v>45407</v>
      </c>
      <c r="H70" t="s">
        <v>172</v>
      </c>
      <c r="I70">
        <v>1</v>
      </c>
      <c r="J70" t="s">
        <v>176</v>
      </c>
    </row>
    <row r="71" spans="1:10" x14ac:dyDescent="0.3">
      <c r="A71" t="s">
        <v>79</v>
      </c>
      <c r="B71" t="s">
        <v>151</v>
      </c>
      <c r="C71" t="s">
        <v>156</v>
      </c>
      <c r="D71">
        <v>1975.09</v>
      </c>
      <c r="E71">
        <v>3</v>
      </c>
      <c r="F71" t="s">
        <v>166</v>
      </c>
      <c r="G71" s="2">
        <v>45366</v>
      </c>
      <c r="H71" t="s">
        <v>171</v>
      </c>
      <c r="I71">
        <v>2</v>
      </c>
      <c r="J71" t="s">
        <v>175</v>
      </c>
    </row>
    <row r="72" spans="1:10" x14ac:dyDescent="0.3">
      <c r="A72" t="s">
        <v>80</v>
      </c>
      <c r="B72" t="s">
        <v>152</v>
      </c>
      <c r="C72" t="s">
        <v>160</v>
      </c>
      <c r="D72">
        <v>1567.27</v>
      </c>
      <c r="E72">
        <v>2</v>
      </c>
      <c r="F72" t="s">
        <v>164</v>
      </c>
      <c r="G72" s="2">
        <v>45404</v>
      </c>
      <c r="H72" t="s">
        <v>168</v>
      </c>
      <c r="I72">
        <v>3</v>
      </c>
      <c r="J72" t="s">
        <v>175</v>
      </c>
    </row>
    <row r="73" spans="1:10" x14ac:dyDescent="0.3">
      <c r="A73" t="s">
        <v>81</v>
      </c>
      <c r="B73" t="s">
        <v>153</v>
      </c>
      <c r="C73" t="s">
        <v>161</v>
      </c>
      <c r="D73">
        <v>477.56</v>
      </c>
      <c r="E73">
        <v>4</v>
      </c>
      <c r="F73" t="s">
        <v>163</v>
      </c>
      <c r="G73" s="2">
        <v>45395</v>
      </c>
      <c r="H73" t="s">
        <v>169</v>
      </c>
      <c r="I73">
        <v>5</v>
      </c>
      <c r="J73" t="s">
        <v>176</v>
      </c>
    </row>
    <row r="74" spans="1:10" x14ac:dyDescent="0.3">
      <c r="A74" t="s">
        <v>82</v>
      </c>
      <c r="B74" t="s">
        <v>130</v>
      </c>
      <c r="C74" t="s">
        <v>158</v>
      </c>
      <c r="D74">
        <v>110.49</v>
      </c>
      <c r="E74">
        <v>4</v>
      </c>
      <c r="F74" t="s">
        <v>163</v>
      </c>
      <c r="G74" s="2">
        <v>45631</v>
      </c>
      <c r="H74" t="s">
        <v>168</v>
      </c>
      <c r="I74">
        <v>3</v>
      </c>
      <c r="J74" t="s">
        <v>174</v>
      </c>
    </row>
    <row r="75" spans="1:10" x14ac:dyDescent="0.3">
      <c r="A75" t="s">
        <v>83</v>
      </c>
      <c r="B75" t="s">
        <v>154</v>
      </c>
      <c r="C75" t="s">
        <v>161</v>
      </c>
      <c r="D75">
        <v>1649.38</v>
      </c>
      <c r="E75">
        <v>4</v>
      </c>
      <c r="F75" t="s">
        <v>163</v>
      </c>
      <c r="G75" s="2">
        <v>45545</v>
      </c>
      <c r="H75" t="s">
        <v>168</v>
      </c>
      <c r="I75">
        <v>5</v>
      </c>
      <c r="J75" t="s">
        <v>174</v>
      </c>
    </row>
    <row r="76" spans="1:10" x14ac:dyDescent="0.3">
      <c r="A76" t="s">
        <v>84</v>
      </c>
      <c r="B76" t="s">
        <v>138</v>
      </c>
      <c r="C76" t="s">
        <v>161</v>
      </c>
      <c r="D76">
        <v>1443.03</v>
      </c>
      <c r="E76">
        <v>1</v>
      </c>
      <c r="F76" t="s">
        <v>164</v>
      </c>
      <c r="G76" s="2">
        <v>45518</v>
      </c>
      <c r="H76" t="s">
        <v>167</v>
      </c>
      <c r="I76">
        <v>2</v>
      </c>
      <c r="J76" t="s">
        <v>175</v>
      </c>
    </row>
    <row r="77" spans="1:10" x14ac:dyDescent="0.3">
      <c r="A77" t="s">
        <v>85</v>
      </c>
      <c r="B77" t="s">
        <v>147</v>
      </c>
      <c r="C77" t="s">
        <v>156</v>
      </c>
      <c r="D77">
        <v>1485.11</v>
      </c>
      <c r="E77">
        <v>4</v>
      </c>
      <c r="F77" t="s">
        <v>166</v>
      </c>
      <c r="G77" s="2">
        <v>45403</v>
      </c>
      <c r="H77" t="s">
        <v>169</v>
      </c>
      <c r="I77">
        <v>2</v>
      </c>
      <c r="J77" t="s">
        <v>173</v>
      </c>
    </row>
    <row r="78" spans="1:10" x14ac:dyDescent="0.3">
      <c r="A78" t="s">
        <v>86</v>
      </c>
      <c r="B78" t="s">
        <v>138</v>
      </c>
      <c r="C78" t="s">
        <v>157</v>
      </c>
      <c r="D78">
        <v>1565.41</v>
      </c>
      <c r="E78">
        <v>1</v>
      </c>
      <c r="G78" s="2">
        <v>45390</v>
      </c>
      <c r="H78" t="s">
        <v>168</v>
      </c>
      <c r="I78">
        <v>1</v>
      </c>
      <c r="J78" t="s">
        <v>176</v>
      </c>
    </row>
    <row r="79" spans="1:10" x14ac:dyDescent="0.3">
      <c r="A79" t="s">
        <v>87</v>
      </c>
      <c r="B79" t="s">
        <v>142</v>
      </c>
      <c r="C79" t="s">
        <v>159</v>
      </c>
      <c r="D79">
        <v>240.68</v>
      </c>
      <c r="E79">
        <v>2</v>
      </c>
      <c r="F79" t="s">
        <v>163</v>
      </c>
      <c r="G79" s="2">
        <v>45444</v>
      </c>
      <c r="H79" t="s">
        <v>170</v>
      </c>
      <c r="I79">
        <v>2</v>
      </c>
      <c r="J79" t="s">
        <v>176</v>
      </c>
    </row>
    <row r="80" spans="1:10" x14ac:dyDescent="0.3">
      <c r="A80" t="s">
        <v>88</v>
      </c>
      <c r="B80" t="s">
        <v>143</v>
      </c>
      <c r="C80" t="s">
        <v>159</v>
      </c>
      <c r="D80">
        <v>781.08</v>
      </c>
      <c r="E80">
        <v>1</v>
      </c>
      <c r="F80" t="s">
        <v>163</v>
      </c>
      <c r="G80" s="2">
        <v>45640</v>
      </c>
      <c r="H80" t="s">
        <v>167</v>
      </c>
      <c r="I80">
        <v>2</v>
      </c>
      <c r="J80" t="s">
        <v>175</v>
      </c>
    </row>
    <row r="81" spans="1:10" x14ac:dyDescent="0.3">
      <c r="A81" t="s">
        <v>89</v>
      </c>
      <c r="B81" t="s">
        <v>114</v>
      </c>
      <c r="C81" t="s">
        <v>157</v>
      </c>
      <c r="D81">
        <v>320.14999999999998</v>
      </c>
      <c r="E81">
        <v>2</v>
      </c>
      <c r="F81" t="s">
        <v>162</v>
      </c>
      <c r="G81" s="2">
        <v>45657</v>
      </c>
      <c r="H81" t="s">
        <v>170</v>
      </c>
      <c r="I81">
        <v>2</v>
      </c>
      <c r="J81" t="s">
        <v>175</v>
      </c>
    </row>
    <row r="82" spans="1:10" x14ac:dyDescent="0.3">
      <c r="A82" t="s">
        <v>90</v>
      </c>
      <c r="B82" t="s">
        <v>155</v>
      </c>
      <c r="C82" t="s">
        <v>157</v>
      </c>
      <c r="D82">
        <v>1739.9</v>
      </c>
      <c r="E82">
        <v>4</v>
      </c>
      <c r="G82" s="2">
        <v>45629</v>
      </c>
      <c r="H82" t="s">
        <v>167</v>
      </c>
      <c r="I82">
        <v>5</v>
      </c>
      <c r="J82" t="s">
        <v>175</v>
      </c>
    </row>
    <row r="83" spans="1:10" x14ac:dyDescent="0.3">
      <c r="A83" t="s">
        <v>91</v>
      </c>
      <c r="B83" t="s">
        <v>118</v>
      </c>
      <c r="C83" t="s">
        <v>158</v>
      </c>
      <c r="D83">
        <v>1284.27</v>
      </c>
      <c r="E83">
        <v>4</v>
      </c>
      <c r="F83" t="s">
        <v>163</v>
      </c>
      <c r="G83" s="2">
        <v>45485</v>
      </c>
      <c r="H83" t="s">
        <v>170</v>
      </c>
      <c r="I83">
        <v>5</v>
      </c>
      <c r="J83" t="s">
        <v>174</v>
      </c>
    </row>
    <row r="84" spans="1:10" x14ac:dyDescent="0.3">
      <c r="A84" t="s">
        <v>92</v>
      </c>
      <c r="B84" t="s">
        <v>119</v>
      </c>
      <c r="C84" t="s">
        <v>159</v>
      </c>
      <c r="D84">
        <v>728.71</v>
      </c>
      <c r="E84">
        <v>2</v>
      </c>
      <c r="F84" t="s">
        <v>162</v>
      </c>
      <c r="G84" s="2">
        <v>45601</v>
      </c>
      <c r="H84" t="s">
        <v>167</v>
      </c>
      <c r="I84">
        <v>5</v>
      </c>
      <c r="J84" t="s">
        <v>174</v>
      </c>
    </row>
    <row r="85" spans="1:10" x14ac:dyDescent="0.3">
      <c r="A85" t="s">
        <v>93</v>
      </c>
      <c r="B85" t="s">
        <v>131</v>
      </c>
      <c r="C85" t="s">
        <v>160</v>
      </c>
      <c r="D85">
        <v>220.76</v>
      </c>
      <c r="E85">
        <v>3</v>
      </c>
      <c r="F85" t="s">
        <v>166</v>
      </c>
      <c r="G85" s="2">
        <v>45454</v>
      </c>
      <c r="H85" t="s">
        <v>167</v>
      </c>
      <c r="I85">
        <v>3</v>
      </c>
      <c r="J85" t="s">
        <v>175</v>
      </c>
    </row>
    <row r="86" spans="1:10" x14ac:dyDescent="0.3">
      <c r="A86" t="s">
        <v>94</v>
      </c>
      <c r="B86" t="s">
        <v>134</v>
      </c>
      <c r="C86" t="s">
        <v>157</v>
      </c>
      <c r="D86">
        <v>690.87</v>
      </c>
      <c r="E86">
        <v>2</v>
      </c>
      <c r="F86" t="s">
        <v>162</v>
      </c>
      <c r="G86" s="2">
        <v>45499</v>
      </c>
      <c r="H86" t="s">
        <v>167</v>
      </c>
      <c r="I86">
        <v>1</v>
      </c>
      <c r="J86" t="s">
        <v>174</v>
      </c>
    </row>
    <row r="87" spans="1:10" x14ac:dyDescent="0.3">
      <c r="A87" t="s">
        <v>95</v>
      </c>
      <c r="B87" t="s">
        <v>122</v>
      </c>
      <c r="C87" t="s">
        <v>159</v>
      </c>
      <c r="D87">
        <v>717.85</v>
      </c>
      <c r="E87">
        <v>3</v>
      </c>
      <c r="F87" t="s">
        <v>165</v>
      </c>
      <c r="G87" s="2">
        <v>45460</v>
      </c>
      <c r="H87" t="s">
        <v>172</v>
      </c>
      <c r="I87">
        <v>1</v>
      </c>
      <c r="J87" t="s">
        <v>175</v>
      </c>
    </row>
    <row r="88" spans="1:10" hidden="1" x14ac:dyDescent="0.3">
      <c r="A88" t="s">
        <v>96</v>
      </c>
      <c r="B88" t="s">
        <v>154</v>
      </c>
      <c r="C88" t="s">
        <v>160</v>
      </c>
      <c r="E88">
        <v>1</v>
      </c>
      <c r="F88" t="s">
        <v>164</v>
      </c>
      <c r="G88" s="2">
        <v>45452</v>
      </c>
      <c r="H88" t="s">
        <v>172</v>
      </c>
      <c r="I88">
        <v>3</v>
      </c>
      <c r="J88" t="s">
        <v>176</v>
      </c>
    </row>
    <row r="89" spans="1:10" x14ac:dyDescent="0.3">
      <c r="A89" t="s">
        <v>97</v>
      </c>
      <c r="B89" t="s">
        <v>136</v>
      </c>
      <c r="C89" t="s">
        <v>156</v>
      </c>
      <c r="D89">
        <v>1311.36</v>
      </c>
      <c r="E89">
        <v>1</v>
      </c>
      <c r="F89" t="s">
        <v>163</v>
      </c>
      <c r="G89" s="2">
        <v>45359</v>
      </c>
      <c r="H89" t="s">
        <v>171</v>
      </c>
      <c r="I89">
        <v>3</v>
      </c>
      <c r="J89" t="s">
        <v>175</v>
      </c>
    </row>
    <row r="90" spans="1:10" x14ac:dyDescent="0.3">
      <c r="A90" t="s">
        <v>98</v>
      </c>
      <c r="B90" t="s">
        <v>124</v>
      </c>
      <c r="C90" t="s">
        <v>160</v>
      </c>
      <c r="D90">
        <v>1785.7</v>
      </c>
      <c r="E90">
        <v>1</v>
      </c>
      <c r="F90" t="s">
        <v>166</v>
      </c>
      <c r="G90" s="2">
        <v>45580</v>
      </c>
      <c r="H90" t="s">
        <v>171</v>
      </c>
      <c r="I90">
        <v>2</v>
      </c>
      <c r="J90" t="s">
        <v>175</v>
      </c>
    </row>
    <row r="91" spans="1:10" x14ac:dyDescent="0.3">
      <c r="A91" t="s">
        <v>99</v>
      </c>
      <c r="B91" t="s">
        <v>118</v>
      </c>
      <c r="C91" t="s">
        <v>158</v>
      </c>
      <c r="D91">
        <v>997.21</v>
      </c>
      <c r="E91">
        <v>4</v>
      </c>
      <c r="F91" t="s">
        <v>165</v>
      </c>
      <c r="G91" s="2">
        <v>45568</v>
      </c>
      <c r="H91" t="s">
        <v>172</v>
      </c>
      <c r="I91">
        <v>5</v>
      </c>
      <c r="J91" t="s">
        <v>176</v>
      </c>
    </row>
    <row r="92" spans="1:10" x14ac:dyDescent="0.3">
      <c r="A92" t="s">
        <v>100</v>
      </c>
      <c r="B92" t="s">
        <v>129</v>
      </c>
      <c r="C92" t="s">
        <v>159</v>
      </c>
      <c r="D92">
        <v>327.23</v>
      </c>
      <c r="E92">
        <v>1</v>
      </c>
      <c r="F92" t="s">
        <v>166</v>
      </c>
      <c r="G92" s="2">
        <v>45595</v>
      </c>
      <c r="H92" t="s">
        <v>168</v>
      </c>
      <c r="J92" t="s">
        <v>176</v>
      </c>
    </row>
    <row r="93" spans="1:10" x14ac:dyDescent="0.3">
      <c r="A93" t="s">
        <v>101</v>
      </c>
      <c r="B93" t="s">
        <v>152</v>
      </c>
      <c r="C93" t="s">
        <v>160</v>
      </c>
      <c r="D93">
        <v>1455.17</v>
      </c>
      <c r="E93">
        <v>3</v>
      </c>
      <c r="F93" t="s">
        <v>164</v>
      </c>
      <c r="G93" s="2">
        <v>45426</v>
      </c>
      <c r="H93" t="s">
        <v>168</v>
      </c>
      <c r="I93">
        <v>4</v>
      </c>
      <c r="J93" t="s">
        <v>174</v>
      </c>
    </row>
    <row r="94" spans="1:10" x14ac:dyDescent="0.3">
      <c r="A94" t="s">
        <v>102</v>
      </c>
      <c r="B94" t="s">
        <v>135</v>
      </c>
      <c r="C94" t="s">
        <v>156</v>
      </c>
      <c r="D94">
        <v>1545.49</v>
      </c>
      <c r="E94">
        <v>1</v>
      </c>
      <c r="F94" t="s">
        <v>165</v>
      </c>
      <c r="G94" s="2">
        <v>45486</v>
      </c>
      <c r="H94" t="s">
        <v>167</v>
      </c>
      <c r="I94">
        <v>5</v>
      </c>
      <c r="J94" t="s">
        <v>173</v>
      </c>
    </row>
    <row r="95" spans="1:10" x14ac:dyDescent="0.3">
      <c r="A95" t="s">
        <v>103</v>
      </c>
      <c r="B95" t="s">
        <v>132</v>
      </c>
      <c r="C95" t="s">
        <v>157</v>
      </c>
      <c r="D95">
        <v>1166.43</v>
      </c>
      <c r="E95">
        <v>2</v>
      </c>
      <c r="F95" t="s">
        <v>162</v>
      </c>
      <c r="G95" s="2">
        <v>45419</v>
      </c>
      <c r="H95" t="s">
        <v>171</v>
      </c>
      <c r="J95" t="s">
        <v>176</v>
      </c>
    </row>
    <row r="96" spans="1:10" x14ac:dyDescent="0.3">
      <c r="A96" t="s">
        <v>104</v>
      </c>
      <c r="B96" t="s">
        <v>128</v>
      </c>
      <c r="C96" t="s">
        <v>157</v>
      </c>
      <c r="D96">
        <v>1564.84</v>
      </c>
      <c r="E96">
        <v>2</v>
      </c>
      <c r="F96" t="s">
        <v>166</v>
      </c>
      <c r="G96" s="2">
        <v>45324</v>
      </c>
      <c r="H96" t="s">
        <v>172</v>
      </c>
      <c r="I96">
        <v>2</v>
      </c>
      <c r="J96" t="s">
        <v>176</v>
      </c>
    </row>
    <row r="97" spans="1:10" x14ac:dyDescent="0.3">
      <c r="A97" t="s">
        <v>105</v>
      </c>
      <c r="B97" t="s">
        <v>125</v>
      </c>
      <c r="C97" t="s">
        <v>160</v>
      </c>
      <c r="D97">
        <v>1038.21</v>
      </c>
      <c r="E97">
        <v>4</v>
      </c>
      <c r="F97" t="s">
        <v>163</v>
      </c>
      <c r="G97" s="2">
        <v>45467</v>
      </c>
      <c r="H97" t="s">
        <v>172</v>
      </c>
      <c r="I97">
        <v>2</v>
      </c>
      <c r="J97" t="s">
        <v>173</v>
      </c>
    </row>
    <row r="98" spans="1:10" x14ac:dyDescent="0.3">
      <c r="A98" t="s">
        <v>106</v>
      </c>
      <c r="B98" t="s">
        <v>151</v>
      </c>
      <c r="C98" t="s">
        <v>161</v>
      </c>
      <c r="D98">
        <v>1093.19</v>
      </c>
      <c r="E98">
        <v>2</v>
      </c>
      <c r="F98" t="s">
        <v>163</v>
      </c>
      <c r="G98" s="2">
        <v>45313</v>
      </c>
      <c r="H98" t="s">
        <v>172</v>
      </c>
      <c r="I98">
        <v>1</v>
      </c>
      <c r="J98" t="s">
        <v>175</v>
      </c>
    </row>
    <row r="99" spans="1:10" x14ac:dyDescent="0.3">
      <c r="A99" t="s">
        <v>107</v>
      </c>
      <c r="B99" t="s">
        <v>118</v>
      </c>
      <c r="C99" t="s">
        <v>160</v>
      </c>
      <c r="D99">
        <v>912.33</v>
      </c>
      <c r="E99">
        <v>3</v>
      </c>
      <c r="F99" t="s">
        <v>162</v>
      </c>
      <c r="G99" s="2">
        <v>45529</v>
      </c>
      <c r="H99" t="s">
        <v>168</v>
      </c>
      <c r="I99">
        <v>1</v>
      </c>
      <c r="J99" t="s">
        <v>173</v>
      </c>
    </row>
    <row r="100" spans="1:10" x14ac:dyDescent="0.3">
      <c r="A100" t="s">
        <v>108</v>
      </c>
      <c r="B100" t="s">
        <v>154</v>
      </c>
      <c r="C100" t="s">
        <v>158</v>
      </c>
      <c r="D100">
        <v>148.30000000000001</v>
      </c>
      <c r="E100">
        <v>1</v>
      </c>
      <c r="F100" t="s">
        <v>162</v>
      </c>
      <c r="G100" s="2">
        <v>45449</v>
      </c>
      <c r="H100" t="s">
        <v>167</v>
      </c>
      <c r="I100">
        <v>1</v>
      </c>
      <c r="J100" t="s">
        <v>176</v>
      </c>
    </row>
    <row r="101" spans="1:10" x14ac:dyDescent="0.3">
      <c r="A101" t="s">
        <v>109</v>
      </c>
      <c r="B101" t="s">
        <v>145</v>
      </c>
      <c r="C101" t="s">
        <v>161</v>
      </c>
      <c r="D101">
        <v>304.99</v>
      </c>
      <c r="E101">
        <v>4</v>
      </c>
      <c r="F101" t="s">
        <v>166</v>
      </c>
      <c r="G101" s="2">
        <v>45329</v>
      </c>
      <c r="H101" t="s">
        <v>171</v>
      </c>
      <c r="I101">
        <v>4</v>
      </c>
      <c r="J101" t="s">
        <v>173</v>
      </c>
    </row>
  </sheetData>
  <autoFilter ref="A1:J101">
    <filterColumn colId="3">
      <customFilters>
        <customFilter operator="notEqual" val=" "/>
      </custom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6"/>
  <sheetViews>
    <sheetView topLeftCell="A2" workbookViewId="0">
      <selection activeCell="A5" sqref="A5"/>
    </sheetView>
  </sheetViews>
  <sheetFormatPr defaultRowHeight="14.4" x14ac:dyDescent="0.3"/>
  <cols>
    <col min="1" max="1" width="15.77734375" customWidth="1"/>
    <col min="2" max="2" width="19.21875" customWidth="1"/>
    <col min="3" max="3" width="26.21875" customWidth="1"/>
    <col min="4" max="4" width="19.33203125" customWidth="1"/>
    <col min="5" max="5" width="15.88671875" customWidth="1"/>
    <col min="6" max="6" width="18.21875" customWidth="1"/>
    <col min="7" max="7" width="21.33203125" customWidth="1"/>
    <col min="8" max="8" width="19.88671875" customWidth="1"/>
    <col min="9" max="9" width="12.44140625" customWidth="1"/>
    <col min="10" max="10" width="18.109375" customWidth="1"/>
    <col min="11" max="11" width="12.33203125" customWidth="1"/>
  </cols>
  <sheetData>
    <row r="1" spans="1:11" x14ac:dyDescent="0.3">
      <c r="A1" s="3" t="s">
        <v>0</v>
      </c>
      <c r="B1" s="3" t="s">
        <v>1</v>
      </c>
      <c r="C1" s="3" t="s">
        <v>2</v>
      </c>
      <c r="D1" s="3" t="s">
        <v>3</v>
      </c>
      <c r="E1" s="3" t="s">
        <v>4</v>
      </c>
      <c r="F1" s="3" t="s">
        <v>5</v>
      </c>
      <c r="G1" s="3" t="s">
        <v>6</v>
      </c>
      <c r="H1" s="3" t="s">
        <v>7</v>
      </c>
      <c r="I1" s="3" t="s">
        <v>8</v>
      </c>
      <c r="J1" s="3" t="s">
        <v>9</v>
      </c>
      <c r="K1" s="3" t="s">
        <v>178</v>
      </c>
    </row>
    <row r="2" spans="1:11" x14ac:dyDescent="0.3">
      <c r="A2" t="s">
        <v>10</v>
      </c>
      <c r="B2" t="s">
        <v>110</v>
      </c>
      <c r="C2" t="s">
        <v>156</v>
      </c>
      <c r="D2">
        <v>811.63</v>
      </c>
      <c r="E2">
        <v>3</v>
      </c>
      <c r="F2" t="s">
        <v>162</v>
      </c>
      <c r="G2" s="2">
        <v>45516</v>
      </c>
      <c r="H2" t="s">
        <v>167</v>
      </c>
      <c r="I2">
        <v>5</v>
      </c>
      <c r="J2" t="s">
        <v>173</v>
      </c>
      <c r="K2">
        <f>D2*E2</f>
        <v>2434.89</v>
      </c>
    </row>
    <row r="3" spans="1:11" x14ac:dyDescent="0.3">
      <c r="A3" t="s">
        <v>11</v>
      </c>
      <c r="B3" t="s">
        <v>111</v>
      </c>
      <c r="C3" t="s">
        <v>156</v>
      </c>
      <c r="D3">
        <v>1906.36</v>
      </c>
      <c r="E3">
        <v>4</v>
      </c>
      <c r="F3" t="s">
        <v>163</v>
      </c>
      <c r="G3" s="2">
        <v>45417</v>
      </c>
      <c r="H3" t="s">
        <v>168</v>
      </c>
      <c r="I3">
        <v>4</v>
      </c>
      <c r="J3" t="s">
        <v>174</v>
      </c>
      <c r="K3">
        <f t="shared" ref="K3:K66" si="0">D3*E3</f>
        <v>7625.44</v>
      </c>
    </row>
    <row r="4" spans="1:11" x14ac:dyDescent="0.3">
      <c r="A4" t="s">
        <v>12</v>
      </c>
      <c r="B4" t="s">
        <v>112</v>
      </c>
      <c r="C4" t="s">
        <v>157</v>
      </c>
      <c r="D4">
        <v>1490.79</v>
      </c>
      <c r="E4">
        <v>3</v>
      </c>
      <c r="F4" t="s">
        <v>162</v>
      </c>
      <c r="G4" s="2">
        <v>45421</v>
      </c>
      <c r="H4" t="s">
        <v>169</v>
      </c>
      <c r="I4">
        <v>2</v>
      </c>
      <c r="J4" t="s">
        <v>175</v>
      </c>
      <c r="K4">
        <f t="shared" si="0"/>
        <v>4472.37</v>
      </c>
    </row>
    <row r="5" spans="1:11" x14ac:dyDescent="0.3">
      <c r="A5" t="s">
        <v>13</v>
      </c>
      <c r="B5" t="s">
        <v>113</v>
      </c>
      <c r="C5" t="s">
        <v>158</v>
      </c>
      <c r="D5">
        <v>1237.45</v>
      </c>
      <c r="E5">
        <v>1</v>
      </c>
      <c r="F5" t="s">
        <v>177</v>
      </c>
      <c r="G5" s="2">
        <v>45344</v>
      </c>
      <c r="H5" t="s">
        <v>168</v>
      </c>
      <c r="I5">
        <v>1</v>
      </c>
      <c r="J5" t="s">
        <v>173</v>
      </c>
      <c r="K5">
        <f t="shared" si="0"/>
        <v>1237.45</v>
      </c>
    </row>
    <row r="6" spans="1:11" x14ac:dyDescent="0.3">
      <c r="A6" t="s">
        <v>14</v>
      </c>
      <c r="B6" t="s">
        <v>114</v>
      </c>
      <c r="C6" t="s">
        <v>159</v>
      </c>
      <c r="D6">
        <v>396.44</v>
      </c>
      <c r="E6">
        <v>4</v>
      </c>
      <c r="F6" t="s">
        <v>164</v>
      </c>
      <c r="G6" s="2">
        <v>45463</v>
      </c>
      <c r="H6" t="s">
        <v>167</v>
      </c>
      <c r="I6">
        <v>1</v>
      </c>
      <c r="J6" t="s">
        <v>173</v>
      </c>
      <c r="K6">
        <f t="shared" si="0"/>
        <v>1585.76</v>
      </c>
    </row>
    <row r="7" spans="1:11" x14ac:dyDescent="0.3">
      <c r="A7" t="s">
        <v>15</v>
      </c>
      <c r="B7" t="s">
        <v>115</v>
      </c>
      <c r="C7" t="s">
        <v>160</v>
      </c>
      <c r="D7">
        <v>396.39</v>
      </c>
      <c r="E7">
        <v>1</v>
      </c>
      <c r="F7" t="s">
        <v>165</v>
      </c>
      <c r="G7" s="2">
        <v>45509</v>
      </c>
      <c r="H7" t="s">
        <v>170</v>
      </c>
      <c r="I7">
        <v>3</v>
      </c>
      <c r="J7" t="s">
        <v>175</v>
      </c>
      <c r="K7">
        <f t="shared" si="0"/>
        <v>396.39</v>
      </c>
    </row>
    <row r="8" spans="1:11" x14ac:dyDescent="0.3">
      <c r="A8" t="s">
        <v>16</v>
      </c>
      <c r="B8" t="s">
        <v>116</v>
      </c>
      <c r="C8" t="s">
        <v>158</v>
      </c>
      <c r="D8">
        <v>210.36</v>
      </c>
      <c r="E8">
        <v>4</v>
      </c>
      <c r="F8" t="s">
        <v>162</v>
      </c>
      <c r="G8" s="2">
        <v>45451</v>
      </c>
      <c r="H8" t="s">
        <v>169</v>
      </c>
      <c r="I8">
        <v>4</v>
      </c>
      <c r="J8" t="s">
        <v>173</v>
      </c>
      <c r="K8">
        <f t="shared" si="0"/>
        <v>841.44</v>
      </c>
    </row>
    <row r="9" spans="1:11" x14ac:dyDescent="0.3">
      <c r="A9" t="s">
        <v>17</v>
      </c>
      <c r="B9" t="s">
        <v>117</v>
      </c>
      <c r="C9" t="s">
        <v>161</v>
      </c>
      <c r="D9">
        <v>1745.73</v>
      </c>
      <c r="E9">
        <v>4</v>
      </c>
      <c r="F9" t="s">
        <v>165</v>
      </c>
      <c r="G9" s="2">
        <v>45489</v>
      </c>
      <c r="H9" t="s">
        <v>170</v>
      </c>
      <c r="I9">
        <v>2</v>
      </c>
      <c r="J9" t="s">
        <v>173</v>
      </c>
      <c r="K9">
        <f t="shared" si="0"/>
        <v>6982.92</v>
      </c>
    </row>
    <row r="10" spans="1:11" x14ac:dyDescent="0.3">
      <c r="A10" t="s">
        <v>18</v>
      </c>
      <c r="B10" t="s">
        <v>118</v>
      </c>
      <c r="C10" t="s">
        <v>156</v>
      </c>
      <c r="D10">
        <v>1242.1199999999999</v>
      </c>
      <c r="E10">
        <v>2</v>
      </c>
      <c r="F10" t="s">
        <v>163</v>
      </c>
      <c r="G10" s="2">
        <v>45538</v>
      </c>
      <c r="H10" t="s">
        <v>169</v>
      </c>
      <c r="I10">
        <v>1</v>
      </c>
      <c r="J10" t="s">
        <v>176</v>
      </c>
      <c r="K10">
        <f t="shared" si="0"/>
        <v>2484.2399999999998</v>
      </c>
    </row>
    <row r="11" spans="1:11" x14ac:dyDescent="0.3">
      <c r="A11" t="s">
        <v>19</v>
      </c>
      <c r="B11" t="s">
        <v>119</v>
      </c>
      <c r="C11" t="s">
        <v>161</v>
      </c>
      <c r="D11">
        <v>1445.34</v>
      </c>
      <c r="E11">
        <v>1</v>
      </c>
      <c r="F11" t="s">
        <v>162</v>
      </c>
      <c r="G11" s="2">
        <v>45615</v>
      </c>
      <c r="H11" t="s">
        <v>170</v>
      </c>
      <c r="I11">
        <v>1</v>
      </c>
      <c r="J11" t="s">
        <v>176</v>
      </c>
      <c r="K11">
        <f t="shared" si="0"/>
        <v>1445.34</v>
      </c>
    </row>
    <row r="12" spans="1:11" x14ac:dyDescent="0.3">
      <c r="A12" t="s">
        <v>20</v>
      </c>
      <c r="B12" t="s">
        <v>120</v>
      </c>
      <c r="C12" t="s">
        <v>157</v>
      </c>
      <c r="D12">
        <v>139.11000000000001</v>
      </c>
      <c r="E12">
        <v>3</v>
      </c>
      <c r="F12" t="s">
        <v>164</v>
      </c>
      <c r="G12" s="2">
        <v>45494</v>
      </c>
      <c r="H12" t="s">
        <v>171</v>
      </c>
      <c r="I12">
        <v>1</v>
      </c>
      <c r="J12" t="s">
        <v>173</v>
      </c>
      <c r="K12">
        <f t="shared" si="0"/>
        <v>417.33000000000004</v>
      </c>
    </row>
    <row r="13" spans="1:11" x14ac:dyDescent="0.3">
      <c r="A13" t="s">
        <v>21</v>
      </c>
      <c r="B13" t="s">
        <v>121</v>
      </c>
      <c r="C13" t="s">
        <v>157</v>
      </c>
      <c r="D13">
        <v>1942.83</v>
      </c>
      <c r="E13">
        <v>3</v>
      </c>
      <c r="F13" t="s">
        <v>162</v>
      </c>
      <c r="G13" s="2">
        <v>45475</v>
      </c>
      <c r="H13" t="s">
        <v>171</v>
      </c>
      <c r="I13">
        <v>1</v>
      </c>
      <c r="J13" t="s">
        <v>174</v>
      </c>
      <c r="K13">
        <f t="shared" si="0"/>
        <v>5828.49</v>
      </c>
    </row>
    <row r="14" spans="1:11" x14ac:dyDescent="0.3">
      <c r="A14" t="s">
        <v>22</v>
      </c>
      <c r="B14" t="s">
        <v>122</v>
      </c>
      <c r="C14" t="s">
        <v>161</v>
      </c>
      <c r="D14">
        <v>1681.64</v>
      </c>
      <c r="E14">
        <v>1</v>
      </c>
      <c r="F14" t="s">
        <v>164</v>
      </c>
      <c r="G14" s="2">
        <v>45414</v>
      </c>
      <c r="H14" t="s">
        <v>172</v>
      </c>
      <c r="I14">
        <v>2</v>
      </c>
      <c r="J14" t="s">
        <v>173</v>
      </c>
      <c r="K14">
        <f t="shared" si="0"/>
        <v>1681.64</v>
      </c>
    </row>
    <row r="15" spans="1:11" x14ac:dyDescent="0.3">
      <c r="A15" t="s">
        <v>23</v>
      </c>
      <c r="B15" t="s">
        <v>112</v>
      </c>
      <c r="C15" t="s">
        <v>157</v>
      </c>
      <c r="D15">
        <v>503.44</v>
      </c>
      <c r="E15">
        <v>3</v>
      </c>
      <c r="F15" t="s">
        <v>166</v>
      </c>
      <c r="G15" s="2">
        <v>45546</v>
      </c>
      <c r="H15" t="s">
        <v>170</v>
      </c>
      <c r="I15">
        <v>1</v>
      </c>
      <c r="J15" t="s">
        <v>174</v>
      </c>
      <c r="K15">
        <f t="shared" si="0"/>
        <v>1510.32</v>
      </c>
    </row>
    <row r="16" spans="1:11" x14ac:dyDescent="0.3">
      <c r="A16" t="s">
        <v>24</v>
      </c>
      <c r="B16" t="s">
        <v>111</v>
      </c>
      <c r="C16" t="s">
        <v>157</v>
      </c>
      <c r="D16">
        <v>445.47</v>
      </c>
      <c r="E16">
        <v>3</v>
      </c>
      <c r="F16" t="s">
        <v>166</v>
      </c>
      <c r="G16" s="2">
        <v>45585</v>
      </c>
      <c r="H16" t="s">
        <v>170</v>
      </c>
      <c r="I16">
        <v>4</v>
      </c>
      <c r="J16" t="s">
        <v>176</v>
      </c>
      <c r="K16">
        <f t="shared" si="0"/>
        <v>1336.41</v>
      </c>
    </row>
    <row r="17" spans="1:11" x14ac:dyDescent="0.3">
      <c r="A17" t="s">
        <v>25</v>
      </c>
      <c r="B17" t="s">
        <v>123</v>
      </c>
      <c r="C17" t="s">
        <v>157</v>
      </c>
      <c r="D17">
        <v>448.47</v>
      </c>
      <c r="E17">
        <v>1</v>
      </c>
      <c r="F17" t="s">
        <v>166</v>
      </c>
      <c r="G17" s="2">
        <v>45571</v>
      </c>
      <c r="H17" t="s">
        <v>172</v>
      </c>
      <c r="I17">
        <v>3</v>
      </c>
      <c r="J17" t="s">
        <v>173</v>
      </c>
      <c r="K17">
        <f t="shared" si="0"/>
        <v>448.47</v>
      </c>
    </row>
    <row r="18" spans="1:11" x14ac:dyDescent="0.3">
      <c r="A18" t="s">
        <v>26</v>
      </c>
      <c r="B18" t="s">
        <v>124</v>
      </c>
      <c r="C18" t="s">
        <v>160</v>
      </c>
      <c r="D18">
        <v>678.06</v>
      </c>
      <c r="E18">
        <v>4</v>
      </c>
      <c r="F18" t="s">
        <v>166</v>
      </c>
      <c r="G18" s="2">
        <v>45616</v>
      </c>
      <c r="H18" t="s">
        <v>172</v>
      </c>
      <c r="I18">
        <v>5</v>
      </c>
      <c r="J18" t="s">
        <v>173</v>
      </c>
      <c r="K18">
        <f>D18*E18</f>
        <v>2712.24</v>
      </c>
    </row>
    <row r="19" spans="1:11" x14ac:dyDescent="0.3">
      <c r="A19" t="s">
        <v>27</v>
      </c>
      <c r="B19" t="s">
        <v>125</v>
      </c>
      <c r="C19" t="s">
        <v>161</v>
      </c>
      <c r="D19">
        <v>1097.04</v>
      </c>
      <c r="E19">
        <v>1</v>
      </c>
      <c r="F19" t="s">
        <v>166</v>
      </c>
      <c r="G19" s="2">
        <v>45389</v>
      </c>
      <c r="H19" t="s">
        <v>170</v>
      </c>
      <c r="I19">
        <v>3</v>
      </c>
      <c r="J19" t="s">
        <v>174</v>
      </c>
      <c r="K19">
        <f t="shared" si="0"/>
        <v>1097.04</v>
      </c>
    </row>
    <row r="20" spans="1:11" x14ac:dyDescent="0.3">
      <c r="A20" t="s">
        <v>28</v>
      </c>
      <c r="B20" t="s">
        <v>126</v>
      </c>
      <c r="C20" t="s">
        <v>161</v>
      </c>
      <c r="D20">
        <v>920.7</v>
      </c>
      <c r="E20">
        <v>4</v>
      </c>
      <c r="F20" t="s">
        <v>164</v>
      </c>
      <c r="G20" s="2">
        <v>45489</v>
      </c>
      <c r="H20" t="s">
        <v>168</v>
      </c>
      <c r="I20">
        <f>ROUND(AVERAGE(I2, I96), 0)</f>
        <v>5</v>
      </c>
      <c r="J20" t="s">
        <v>173</v>
      </c>
      <c r="K20">
        <f t="shared" si="0"/>
        <v>3682.8</v>
      </c>
    </row>
    <row r="21" spans="1:11" x14ac:dyDescent="0.3">
      <c r="A21" t="s">
        <v>29</v>
      </c>
      <c r="B21" t="s">
        <v>120</v>
      </c>
      <c r="C21" t="s">
        <v>160</v>
      </c>
      <c r="D21">
        <v>653.34</v>
      </c>
      <c r="E21">
        <v>3</v>
      </c>
      <c r="F21" t="s">
        <v>165</v>
      </c>
      <c r="G21" s="2">
        <v>45531</v>
      </c>
      <c r="H21" t="s">
        <v>171</v>
      </c>
      <c r="I21">
        <v>3</v>
      </c>
      <c r="J21" t="s">
        <v>174</v>
      </c>
      <c r="K21">
        <f t="shared" si="0"/>
        <v>1960.02</v>
      </c>
    </row>
    <row r="22" spans="1:11" x14ac:dyDescent="0.3">
      <c r="A22" t="s">
        <v>30</v>
      </c>
      <c r="B22" t="s">
        <v>127</v>
      </c>
      <c r="C22" t="s">
        <v>156</v>
      </c>
      <c r="D22">
        <v>1262.52</v>
      </c>
      <c r="E22">
        <v>3</v>
      </c>
      <c r="F22" t="s">
        <v>163</v>
      </c>
      <c r="G22" s="2">
        <v>45435</v>
      </c>
      <c r="H22" t="s">
        <v>172</v>
      </c>
      <c r="I22">
        <v>2</v>
      </c>
      <c r="J22" t="s">
        <v>173</v>
      </c>
      <c r="K22">
        <f t="shared" si="0"/>
        <v>3787.56</v>
      </c>
    </row>
    <row r="23" spans="1:11" x14ac:dyDescent="0.3">
      <c r="A23" t="s">
        <v>31</v>
      </c>
      <c r="B23" t="s">
        <v>128</v>
      </c>
      <c r="C23" t="s">
        <v>156</v>
      </c>
      <c r="D23">
        <v>365.04</v>
      </c>
      <c r="E23">
        <v>3</v>
      </c>
      <c r="F23" t="s">
        <v>164</v>
      </c>
      <c r="G23" s="2">
        <v>45388</v>
      </c>
      <c r="H23" t="s">
        <v>169</v>
      </c>
      <c r="I23">
        <v>3</v>
      </c>
      <c r="J23" t="s">
        <v>175</v>
      </c>
      <c r="K23">
        <f t="shared" si="0"/>
        <v>1095.1200000000001</v>
      </c>
    </row>
    <row r="24" spans="1:11" x14ac:dyDescent="0.3">
      <c r="A24" t="s">
        <v>32</v>
      </c>
      <c r="B24" t="s">
        <v>129</v>
      </c>
      <c r="C24" t="s">
        <v>161</v>
      </c>
      <c r="D24">
        <v>655.07000000000005</v>
      </c>
      <c r="E24">
        <v>2</v>
      </c>
      <c r="F24" t="s">
        <v>163</v>
      </c>
      <c r="G24" s="2">
        <v>45492</v>
      </c>
      <c r="H24" t="s">
        <v>171</v>
      </c>
      <c r="I24">
        <v>2</v>
      </c>
      <c r="J24" t="s">
        <v>175</v>
      </c>
      <c r="K24">
        <f t="shared" si="0"/>
        <v>1310.1400000000001</v>
      </c>
    </row>
    <row r="25" spans="1:11" x14ac:dyDescent="0.3">
      <c r="A25" t="s">
        <v>33</v>
      </c>
      <c r="B25" t="s">
        <v>130</v>
      </c>
      <c r="C25" t="s">
        <v>158</v>
      </c>
      <c r="D25">
        <v>796.09</v>
      </c>
      <c r="E25">
        <v>4</v>
      </c>
      <c r="F25" t="s">
        <v>162</v>
      </c>
      <c r="G25" s="2">
        <v>45415</v>
      </c>
      <c r="H25" t="s">
        <v>172</v>
      </c>
      <c r="I25">
        <v>5</v>
      </c>
      <c r="J25" t="s">
        <v>174</v>
      </c>
      <c r="K25">
        <f t="shared" si="0"/>
        <v>3184.36</v>
      </c>
    </row>
    <row r="26" spans="1:11" x14ac:dyDescent="0.3">
      <c r="A26" t="s">
        <v>34</v>
      </c>
      <c r="B26" t="s">
        <v>131</v>
      </c>
      <c r="C26" t="s">
        <v>157</v>
      </c>
      <c r="D26">
        <v>966.53</v>
      </c>
      <c r="E26">
        <v>2</v>
      </c>
      <c r="F26" t="s">
        <v>165</v>
      </c>
      <c r="G26" s="2">
        <v>45478</v>
      </c>
      <c r="H26" t="s">
        <v>170</v>
      </c>
      <c r="I26">
        <v>1</v>
      </c>
      <c r="J26" t="s">
        <v>176</v>
      </c>
      <c r="K26">
        <f t="shared" si="0"/>
        <v>1933.06</v>
      </c>
    </row>
    <row r="27" spans="1:11" x14ac:dyDescent="0.3">
      <c r="A27" t="s">
        <v>35</v>
      </c>
      <c r="B27" t="s">
        <v>132</v>
      </c>
      <c r="C27" t="s">
        <v>156</v>
      </c>
      <c r="D27">
        <v>1591.83</v>
      </c>
      <c r="E27">
        <v>2</v>
      </c>
      <c r="F27" t="s">
        <v>163</v>
      </c>
      <c r="G27" s="2">
        <v>45617</v>
      </c>
      <c r="H27" t="s">
        <v>171</v>
      </c>
      <c r="I27">
        <v>5</v>
      </c>
      <c r="J27" t="s">
        <v>174</v>
      </c>
      <c r="K27">
        <f t="shared" si="0"/>
        <v>3183.66</v>
      </c>
    </row>
    <row r="28" spans="1:11" x14ac:dyDescent="0.3">
      <c r="A28" t="s">
        <v>36</v>
      </c>
      <c r="B28" t="s">
        <v>133</v>
      </c>
      <c r="C28" t="s">
        <v>159</v>
      </c>
      <c r="D28">
        <v>479.38</v>
      </c>
      <c r="E28">
        <v>1</v>
      </c>
      <c r="F28" t="s">
        <v>166</v>
      </c>
      <c r="G28" s="2">
        <v>45640</v>
      </c>
      <c r="H28" t="s">
        <v>168</v>
      </c>
      <c r="I28">
        <v>5</v>
      </c>
      <c r="J28" t="s">
        <v>174</v>
      </c>
      <c r="K28">
        <f t="shared" si="0"/>
        <v>479.38</v>
      </c>
    </row>
    <row r="29" spans="1:11" x14ac:dyDescent="0.3">
      <c r="A29" t="s">
        <v>37</v>
      </c>
      <c r="B29" t="s">
        <v>134</v>
      </c>
      <c r="C29" t="s">
        <v>157</v>
      </c>
      <c r="D29">
        <v>1077.05</v>
      </c>
      <c r="E29">
        <v>2</v>
      </c>
      <c r="F29" t="s">
        <v>163</v>
      </c>
      <c r="G29" s="2">
        <v>45550</v>
      </c>
      <c r="H29" t="s">
        <v>172</v>
      </c>
      <c r="I29">
        <f>ROUND(AVERAGE(I11, I105), 0)</f>
        <v>1</v>
      </c>
      <c r="J29" t="s">
        <v>174</v>
      </c>
      <c r="K29">
        <f t="shared" si="0"/>
        <v>2154.1</v>
      </c>
    </row>
    <row r="30" spans="1:11" x14ac:dyDescent="0.3">
      <c r="A30" t="s">
        <v>38</v>
      </c>
      <c r="B30" t="s">
        <v>121</v>
      </c>
      <c r="C30" t="s">
        <v>159</v>
      </c>
      <c r="D30">
        <v>1225.5899999999999</v>
      </c>
      <c r="E30">
        <v>1</v>
      </c>
      <c r="F30" t="s">
        <v>164</v>
      </c>
      <c r="G30" s="2">
        <v>45439</v>
      </c>
      <c r="H30" t="s">
        <v>167</v>
      </c>
      <c r="I30">
        <v>4</v>
      </c>
      <c r="J30" t="s">
        <v>174</v>
      </c>
      <c r="K30">
        <f t="shared" si="0"/>
        <v>1225.5899999999999</v>
      </c>
    </row>
    <row r="31" spans="1:11" x14ac:dyDescent="0.3">
      <c r="A31" t="s">
        <v>40</v>
      </c>
      <c r="B31" t="s">
        <v>127</v>
      </c>
      <c r="C31" t="s">
        <v>160</v>
      </c>
      <c r="D31">
        <v>1254.3399999999999</v>
      </c>
      <c r="E31">
        <v>2</v>
      </c>
      <c r="F31" t="s">
        <v>162</v>
      </c>
      <c r="G31" s="2">
        <v>45637</v>
      </c>
      <c r="H31" t="s">
        <v>170</v>
      </c>
      <c r="I31">
        <v>2</v>
      </c>
      <c r="J31" t="s">
        <v>174</v>
      </c>
      <c r="K31">
        <f t="shared" si="0"/>
        <v>2508.6799999999998</v>
      </c>
    </row>
    <row r="32" spans="1:11" x14ac:dyDescent="0.3">
      <c r="A32" t="s">
        <v>41</v>
      </c>
      <c r="B32" t="s">
        <v>136</v>
      </c>
      <c r="C32" t="s">
        <v>159</v>
      </c>
      <c r="D32">
        <v>424</v>
      </c>
      <c r="E32">
        <v>4</v>
      </c>
      <c r="F32" t="s">
        <v>165</v>
      </c>
      <c r="G32" s="2">
        <v>45438</v>
      </c>
      <c r="H32" t="s">
        <v>170</v>
      </c>
      <c r="I32">
        <v>3</v>
      </c>
      <c r="J32" t="s">
        <v>176</v>
      </c>
      <c r="K32">
        <f t="shared" si="0"/>
        <v>1696</v>
      </c>
    </row>
    <row r="33" spans="1:11" x14ac:dyDescent="0.3">
      <c r="A33" t="s">
        <v>42</v>
      </c>
      <c r="B33" t="s">
        <v>131</v>
      </c>
      <c r="C33" t="s">
        <v>160</v>
      </c>
      <c r="D33">
        <v>223.6</v>
      </c>
      <c r="E33">
        <v>4</v>
      </c>
      <c r="F33" t="s">
        <v>177</v>
      </c>
      <c r="G33" s="2">
        <v>45439</v>
      </c>
      <c r="H33" t="s">
        <v>172</v>
      </c>
      <c r="I33">
        <v>5</v>
      </c>
      <c r="J33" t="s">
        <v>175</v>
      </c>
      <c r="K33">
        <f t="shared" si="0"/>
        <v>894.4</v>
      </c>
    </row>
    <row r="34" spans="1:11" x14ac:dyDescent="0.3">
      <c r="A34" t="s">
        <v>43</v>
      </c>
      <c r="B34" t="s">
        <v>137</v>
      </c>
      <c r="C34" t="s">
        <v>160</v>
      </c>
      <c r="D34">
        <v>1902.88</v>
      </c>
      <c r="E34">
        <v>4</v>
      </c>
      <c r="F34" t="s">
        <v>166</v>
      </c>
      <c r="G34" s="2">
        <v>45643</v>
      </c>
      <c r="H34" t="s">
        <v>167</v>
      </c>
      <c r="I34">
        <v>1</v>
      </c>
      <c r="J34" t="s">
        <v>176</v>
      </c>
      <c r="K34">
        <f t="shared" si="0"/>
        <v>7611.52</v>
      </c>
    </row>
    <row r="35" spans="1:11" x14ac:dyDescent="0.3">
      <c r="A35" t="s">
        <v>44</v>
      </c>
      <c r="B35" t="s">
        <v>138</v>
      </c>
      <c r="C35" t="s">
        <v>159</v>
      </c>
      <c r="D35">
        <v>1934.7</v>
      </c>
      <c r="E35">
        <v>4</v>
      </c>
      <c r="F35" t="s">
        <v>162</v>
      </c>
      <c r="G35" s="2">
        <v>45490</v>
      </c>
      <c r="H35" t="s">
        <v>169</v>
      </c>
      <c r="I35">
        <v>5</v>
      </c>
      <c r="J35" t="s">
        <v>175</v>
      </c>
      <c r="K35">
        <f t="shared" si="0"/>
        <v>7738.8</v>
      </c>
    </row>
    <row r="36" spans="1:11" x14ac:dyDescent="0.3">
      <c r="A36" t="s">
        <v>46</v>
      </c>
      <c r="B36" t="s">
        <v>139</v>
      </c>
      <c r="C36" t="s">
        <v>161</v>
      </c>
      <c r="D36">
        <v>678.77</v>
      </c>
      <c r="E36">
        <v>2</v>
      </c>
      <c r="F36" t="s">
        <v>165</v>
      </c>
      <c r="G36" s="2">
        <v>45419</v>
      </c>
      <c r="H36" t="s">
        <v>172</v>
      </c>
      <c r="I36">
        <v>4</v>
      </c>
      <c r="J36" t="s">
        <v>173</v>
      </c>
      <c r="K36">
        <f t="shared" si="0"/>
        <v>1357.54</v>
      </c>
    </row>
    <row r="37" spans="1:11" x14ac:dyDescent="0.3">
      <c r="A37" t="s">
        <v>47</v>
      </c>
      <c r="B37" t="s">
        <v>140</v>
      </c>
      <c r="C37" t="s">
        <v>156</v>
      </c>
      <c r="D37">
        <v>285.58</v>
      </c>
      <c r="E37">
        <v>2</v>
      </c>
      <c r="F37" t="s">
        <v>166</v>
      </c>
      <c r="G37" s="2">
        <v>45330</v>
      </c>
      <c r="H37" t="s">
        <v>171</v>
      </c>
      <c r="I37">
        <v>2</v>
      </c>
      <c r="J37" t="s">
        <v>175</v>
      </c>
      <c r="K37">
        <f t="shared" si="0"/>
        <v>571.16</v>
      </c>
    </row>
    <row r="38" spans="1:11" x14ac:dyDescent="0.3">
      <c r="A38" t="s">
        <v>48</v>
      </c>
      <c r="B38" t="s">
        <v>141</v>
      </c>
      <c r="C38" t="s">
        <v>161</v>
      </c>
      <c r="D38">
        <v>1400.04</v>
      </c>
      <c r="E38">
        <v>3</v>
      </c>
      <c r="F38" t="s">
        <v>164</v>
      </c>
      <c r="G38" s="2">
        <v>45629</v>
      </c>
      <c r="H38" t="s">
        <v>168</v>
      </c>
      <c r="I38">
        <v>1</v>
      </c>
      <c r="J38" t="s">
        <v>174</v>
      </c>
      <c r="K38">
        <f t="shared" si="0"/>
        <v>4200.12</v>
      </c>
    </row>
    <row r="39" spans="1:11" x14ac:dyDescent="0.3">
      <c r="A39" t="s">
        <v>49</v>
      </c>
      <c r="B39" t="s">
        <v>111</v>
      </c>
      <c r="C39" t="s">
        <v>156</v>
      </c>
      <c r="D39">
        <v>936.29</v>
      </c>
      <c r="E39">
        <v>4</v>
      </c>
      <c r="F39" t="s">
        <v>166</v>
      </c>
      <c r="G39" s="2">
        <v>45651</v>
      </c>
      <c r="H39" t="s">
        <v>167</v>
      </c>
      <c r="I39">
        <v>3</v>
      </c>
      <c r="J39" t="s">
        <v>173</v>
      </c>
      <c r="K39">
        <f t="shared" si="0"/>
        <v>3745.16</v>
      </c>
    </row>
    <row r="40" spans="1:11" x14ac:dyDescent="0.3">
      <c r="A40" t="s">
        <v>50</v>
      </c>
      <c r="B40" t="s">
        <v>133</v>
      </c>
      <c r="C40" t="s">
        <v>158</v>
      </c>
      <c r="D40">
        <v>331.87</v>
      </c>
      <c r="E40">
        <v>2</v>
      </c>
      <c r="F40" t="s">
        <v>163</v>
      </c>
      <c r="G40" s="2">
        <v>45420</v>
      </c>
      <c r="H40" t="s">
        <v>169</v>
      </c>
      <c r="I40">
        <v>4</v>
      </c>
      <c r="J40" t="s">
        <v>175</v>
      </c>
      <c r="K40">
        <f t="shared" si="0"/>
        <v>663.74</v>
      </c>
    </row>
    <row r="41" spans="1:11" x14ac:dyDescent="0.3">
      <c r="A41" t="s">
        <v>51</v>
      </c>
      <c r="B41" t="s">
        <v>135</v>
      </c>
      <c r="C41" t="s">
        <v>158</v>
      </c>
      <c r="D41">
        <v>1040.8399999999999</v>
      </c>
      <c r="E41">
        <v>3</v>
      </c>
      <c r="F41" t="s">
        <v>162</v>
      </c>
      <c r="G41" s="2">
        <v>45558</v>
      </c>
      <c r="H41" t="s">
        <v>171</v>
      </c>
      <c r="I41">
        <v>2</v>
      </c>
      <c r="J41" t="s">
        <v>174</v>
      </c>
      <c r="K41">
        <f t="shared" si="0"/>
        <v>3122.5199999999995</v>
      </c>
    </row>
    <row r="42" spans="1:11" x14ac:dyDescent="0.3">
      <c r="A42" t="s">
        <v>53</v>
      </c>
      <c r="B42" t="s">
        <v>117</v>
      </c>
      <c r="C42" t="s">
        <v>160</v>
      </c>
      <c r="D42">
        <v>1827.71</v>
      </c>
      <c r="E42">
        <v>1</v>
      </c>
      <c r="F42" t="s">
        <v>165</v>
      </c>
      <c r="G42" s="2">
        <v>45589</v>
      </c>
      <c r="H42" t="s">
        <v>170</v>
      </c>
      <c r="I42">
        <v>2</v>
      </c>
      <c r="J42" t="s">
        <v>173</v>
      </c>
      <c r="K42">
        <f t="shared" si="0"/>
        <v>1827.71</v>
      </c>
    </row>
    <row r="43" spans="1:11" x14ac:dyDescent="0.3">
      <c r="A43" t="s">
        <v>54</v>
      </c>
      <c r="B43" t="s">
        <v>142</v>
      </c>
      <c r="C43" t="s">
        <v>158</v>
      </c>
      <c r="D43">
        <v>591.67999999999995</v>
      </c>
      <c r="E43">
        <v>3</v>
      </c>
      <c r="F43" t="s">
        <v>163</v>
      </c>
      <c r="G43" s="2">
        <v>45390</v>
      </c>
      <c r="H43" t="s">
        <v>171</v>
      </c>
      <c r="I43">
        <v>4</v>
      </c>
      <c r="J43" t="s">
        <v>175</v>
      </c>
      <c r="K43">
        <f t="shared" si="0"/>
        <v>1775.04</v>
      </c>
    </row>
    <row r="44" spans="1:11" x14ac:dyDescent="0.3">
      <c r="A44" t="s">
        <v>55</v>
      </c>
      <c r="B44" t="s">
        <v>143</v>
      </c>
      <c r="C44" t="s">
        <v>161</v>
      </c>
      <c r="D44">
        <v>1358.79</v>
      </c>
      <c r="E44">
        <v>2</v>
      </c>
      <c r="F44" t="s">
        <v>164</v>
      </c>
      <c r="G44" s="2">
        <v>45554</v>
      </c>
      <c r="H44" t="s">
        <v>170</v>
      </c>
      <c r="I44">
        <v>4</v>
      </c>
      <c r="J44" t="s">
        <v>173</v>
      </c>
      <c r="K44">
        <f t="shared" si="0"/>
        <v>2717.58</v>
      </c>
    </row>
    <row r="45" spans="1:11" x14ac:dyDescent="0.3">
      <c r="A45" t="s">
        <v>56</v>
      </c>
      <c r="B45" t="s">
        <v>125</v>
      </c>
      <c r="C45" t="s">
        <v>161</v>
      </c>
      <c r="D45">
        <v>692.25</v>
      </c>
      <c r="E45">
        <v>1</v>
      </c>
      <c r="F45" t="s">
        <v>177</v>
      </c>
      <c r="G45" s="2">
        <v>45543</v>
      </c>
      <c r="H45" t="s">
        <v>172</v>
      </c>
      <c r="I45">
        <v>4</v>
      </c>
      <c r="J45" t="s">
        <v>175</v>
      </c>
      <c r="K45">
        <f t="shared" si="0"/>
        <v>692.25</v>
      </c>
    </row>
    <row r="46" spans="1:11" x14ac:dyDescent="0.3">
      <c r="A46" t="s">
        <v>57</v>
      </c>
      <c r="B46" t="s">
        <v>143</v>
      </c>
      <c r="C46" t="s">
        <v>156</v>
      </c>
      <c r="D46">
        <v>1088.1300000000001</v>
      </c>
      <c r="E46">
        <v>1</v>
      </c>
      <c r="F46" t="s">
        <v>166</v>
      </c>
      <c r="G46" s="2">
        <v>45435</v>
      </c>
      <c r="H46" t="s">
        <v>171</v>
      </c>
      <c r="I46">
        <f>ROUND(AVERAGE(I28, I122), 0)</f>
        <v>5</v>
      </c>
      <c r="J46" t="s">
        <v>174</v>
      </c>
      <c r="K46">
        <f t="shared" si="0"/>
        <v>1088.1300000000001</v>
      </c>
    </row>
    <row r="47" spans="1:11" x14ac:dyDescent="0.3">
      <c r="A47" t="s">
        <v>58</v>
      </c>
      <c r="B47" t="s">
        <v>140</v>
      </c>
      <c r="C47" t="s">
        <v>157</v>
      </c>
      <c r="D47">
        <v>1138.75</v>
      </c>
      <c r="E47">
        <v>1</v>
      </c>
      <c r="F47" t="s">
        <v>163</v>
      </c>
      <c r="G47" s="2">
        <v>45637</v>
      </c>
      <c r="H47" t="s">
        <v>170</v>
      </c>
      <c r="I47">
        <v>3</v>
      </c>
      <c r="J47" t="s">
        <v>174</v>
      </c>
      <c r="K47">
        <f t="shared" si="0"/>
        <v>1138.75</v>
      </c>
    </row>
    <row r="48" spans="1:11" x14ac:dyDescent="0.3">
      <c r="A48" t="s">
        <v>59</v>
      </c>
      <c r="B48" t="s">
        <v>113</v>
      </c>
      <c r="C48" t="s">
        <v>160</v>
      </c>
      <c r="D48">
        <v>451.22</v>
      </c>
      <c r="E48">
        <v>3</v>
      </c>
      <c r="F48" t="s">
        <v>165</v>
      </c>
      <c r="G48" s="2">
        <v>45403</v>
      </c>
      <c r="H48" t="s">
        <v>172</v>
      </c>
      <c r="I48">
        <v>4</v>
      </c>
      <c r="J48" t="s">
        <v>176</v>
      </c>
      <c r="K48">
        <f t="shared" si="0"/>
        <v>1353.66</v>
      </c>
    </row>
    <row r="49" spans="1:11" x14ac:dyDescent="0.3">
      <c r="A49" t="s">
        <v>60</v>
      </c>
      <c r="B49" t="s">
        <v>127</v>
      </c>
      <c r="C49" t="s">
        <v>158</v>
      </c>
      <c r="D49">
        <v>1942.21</v>
      </c>
      <c r="E49">
        <v>2</v>
      </c>
      <c r="F49" t="s">
        <v>163</v>
      </c>
      <c r="G49" s="2">
        <v>45351</v>
      </c>
      <c r="H49" t="s">
        <v>172</v>
      </c>
      <c r="I49">
        <v>5</v>
      </c>
      <c r="J49" t="s">
        <v>174</v>
      </c>
      <c r="K49">
        <f t="shared" si="0"/>
        <v>3884.42</v>
      </c>
    </row>
    <row r="50" spans="1:11" x14ac:dyDescent="0.3">
      <c r="A50" t="s">
        <v>61</v>
      </c>
      <c r="B50" t="s">
        <v>144</v>
      </c>
      <c r="C50" t="s">
        <v>158</v>
      </c>
      <c r="D50">
        <v>1572.75</v>
      </c>
      <c r="E50">
        <v>1</v>
      </c>
      <c r="F50" t="s">
        <v>162</v>
      </c>
      <c r="G50" s="2">
        <v>45293</v>
      </c>
      <c r="H50" t="s">
        <v>171</v>
      </c>
      <c r="I50">
        <f>ROUND(AVERAGE(I32, I126), 0)</f>
        <v>3</v>
      </c>
      <c r="J50" t="s">
        <v>176</v>
      </c>
      <c r="K50">
        <f t="shared" si="0"/>
        <v>1572.75</v>
      </c>
    </row>
    <row r="51" spans="1:11" x14ac:dyDescent="0.3">
      <c r="A51" t="s">
        <v>62</v>
      </c>
      <c r="B51" t="s">
        <v>145</v>
      </c>
      <c r="C51" t="s">
        <v>160</v>
      </c>
      <c r="D51">
        <v>1885.05</v>
      </c>
      <c r="E51">
        <v>4</v>
      </c>
      <c r="F51" t="s">
        <v>163</v>
      </c>
      <c r="G51" s="2">
        <v>45595</v>
      </c>
      <c r="H51" t="s">
        <v>171</v>
      </c>
      <c r="I51">
        <v>5</v>
      </c>
      <c r="J51" t="s">
        <v>173</v>
      </c>
      <c r="K51">
        <f t="shared" si="0"/>
        <v>7540.2</v>
      </c>
    </row>
    <row r="52" spans="1:11" x14ac:dyDescent="0.3">
      <c r="A52" t="s">
        <v>63</v>
      </c>
      <c r="B52" t="s">
        <v>112</v>
      </c>
      <c r="C52" t="s">
        <v>161</v>
      </c>
      <c r="D52">
        <v>1800.17</v>
      </c>
      <c r="E52">
        <v>1</v>
      </c>
      <c r="F52" t="s">
        <v>165</v>
      </c>
      <c r="G52" s="2">
        <v>45545</v>
      </c>
      <c r="H52" t="s">
        <v>168</v>
      </c>
      <c r="I52">
        <v>4</v>
      </c>
      <c r="J52" t="s">
        <v>173</v>
      </c>
      <c r="K52">
        <f t="shared" si="0"/>
        <v>1800.17</v>
      </c>
    </row>
    <row r="53" spans="1:11" x14ac:dyDescent="0.3">
      <c r="A53" t="s">
        <v>64</v>
      </c>
      <c r="B53" t="s">
        <v>146</v>
      </c>
      <c r="C53" t="s">
        <v>160</v>
      </c>
      <c r="D53">
        <v>1236.01</v>
      </c>
      <c r="E53">
        <v>1</v>
      </c>
      <c r="F53" t="s">
        <v>166</v>
      </c>
      <c r="G53" s="2">
        <v>45431</v>
      </c>
      <c r="H53" t="s">
        <v>167</v>
      </c>
      <c r="I53">
        <v>5</v>
      </c>
      <c r="J53" t="s">
        <v>176</v>
      </c>
      <c r="K53">
        <f t="shared" si="0"/>
        <v>1236.01</v>
      </c>
    </row>
    <row r="54" spans="1:11" x14ac:dyDescent="0.3">
      <c r="A54" t="s">
        <v>65</v>
      </c>
      <c r="B54" t="s">
        <v>110</v>
      </c>
      <c r="C54" t="s">
        <v>156</v>
      </c>
      <c r="D54">
        <v>1851.56</v>
      </c>
      <c r="E54">
        <v>3</v>
      </c>
      <c r="F54" t="s">
        <v>166</v>
      </c>
      <c r="G54" s="2">
        <v>45328</v>
      </c>
      <c r="H54" t="s">
        <v>171</v>
      </c>
      <c r="I54">
        <v>2</v>
      </c>
      <c r="J54" t="s">
        <v>176</v>
      </c>
      <c r="K54">
        <f t="shared" si="0"/>
        <v>5554.68</v>
      </c>
    </row>
    <row r="55" spans="1:11" x14ac:dyDescent="0.3">
      <c r="A55" t="s">
        <v>66</v>
      </c>
      <c r="B55" t="s">
        <v>121</v>
      </c>
      <c r="C55" t="s">
        <v>157</v>
      </c>
      <c r="D55">
        <v>268.14</v>
      </c>
      <c r="E55">
        <v>3</v>
      </c>
      <c r="F55" t="s">
        <v>163</v>
      </c>
      <c r="G55" s="2">
        <v>45451</v>
      </c>
      <c r="H55" t="s">
        <v>171</v>
      </c>
      <c r="I55">
        <f>ROUND(AVERAGE(I37, I131), 0)</f>
        <v>2</v>
      </c>
      <c r="J55" t="s">
        <v>175</v>
      </c>
      <c r="K55">
        <f t="shared" si="0"/>
        <v>804.42</v>
      </c>
    </row>
    <row r="56" spans="1:11" x14ac:dyDescent="0.3">
      <c r="A56" t="s">
        <v>67</v>
      </c>
      <c r="B56" t="s">
        <v>127</v>
      </c>
      <c r="C56" t="s">
        <v>161</v>
      </c>
      <c r="D56">
        <v>472.37</v>
      </c>
      <c r="E56">
        <v>2</v>
      </c>
      <c r="F56" t="s">
        <v>163</v>
      </c>
      <c r="G56" s="2">
        <v>45300</v>
      </c>
      <c r="H56" t="s">
        <v>167</v>
      </c>
      <c r="I56">
        <v>5</v>
      </c>
      <c r="J56" t="s">
        <v>174</v>
      </c>
      <c r="K56">
        <f t="shared" si="0"/>
        <v>944.74</v>
      </c>
    </row>
    <row r="57" spans="1:11" x14ac:dyDescent="0.3">
      <c r="A57" t="s">
        <v>68</v>
      </c>
      <c r="B57" t="s">
        <v>147</v>
      </c>
      <c r="C57" t="s">
        <v>161</v>
      </c>
      <c r="D57">
        <v>185.93</v>
      </c>
      <c r="E57">
        <v>4</v>
      </c>
      <c r="F57" t="s">
        <v>163</v>
      </c>
      <c r="G57" s="2">
        <v>45524</v>
      </c>
      <c r="H57" t="s">
        <v>168</v>
      </c>
      <c r="I57">
        <v>5</v>
      </c>
      <c r="J57" t="s">
        <v>173</v>
      </c>
      <c r="K57">
        <f t="shared" si="0"/>
        <v>743.72</v>
      </c>
    </row>
    <row r="58" spans="1:11" x14ac:dyDescent="0.3">
      <c r="A58" t="s">
        <v>69</v>
      </c>
      <c r="B58" t="s">
        <v>148</v>
      </c>
      <c r="C58" t="s">
        <v>156</v>
      </c>
      <c r="D58">
        <v>718.13</v>
      </c>
      <c r="E58">
        <v>3</v>
      </c>
      <c r="F58" t="s">
        <v>164</v>
      </c>
      <c r="G58" s="2">
        <v>45390</v>
      </c>
      <c r="H58" t="s">
        <v>168</v>
      </c>
      <c r="I58">
        <f>ROUND(AVERAGE(I40, I134), 0)</f>
        <v>4</v>
      </c>
      <c r="J58" t="s">
        <v>176</v>
      </c>
      <c r="K58">
        <f t="shared" si="0"/>
        <v>2154.39</v>
      </c>
    </row>
    <row r="59" spans="1:11" x14ac:dyDescent="0.3">
      <c r="A59" t="s">
        <v>70</v>
      </c>
      <c r="B59" t="s">
        <v>142</v>
      </c>
      <c r="C59" t="s">
        <v>157</v>
      </c>
      <c r="D59">
        <v>838.49</v>
      </c>
      <c r="E59">
        <v>1</v>
      </c>
      <c r="F59" t="s">
        <v>163</v>
      </c>
      <c r="G59" s="2">
        <v>45438</v>
      </c>
      <c r="H59" t="s">
        <v>171</v>
      </c>
      <c r="I59">
        <v>1</v>
      </c>
      <c r="J59" t="s">
        <v>174</v>
      </c>
      <c r="K59">
        <f t="shared" si="0"/>
        <v>838.49</v>
      </c>
    </row>
    <row r="60" spans="1:11" x14ac:dyDescent="0.3">
      <c r="A60" t="s">
        <v>71</v>
      </c>
      <c r="B60" t="s">
        <v>140</v>
      </c>
      <c r="C60" t="s">
        <v>161</v>
      </c>
      <c r="D60">
        <v>615.55999999999995</v>
      </c>
      <c r="E60">
        <v>2</v>
      </c>
      <c r="F60" t="s">
        <v>163</v>
      </c>
      <c r="G60" s="2">
        <v>45595</v>
      </c>
      <c r="H60" t="s">
        <v>170</v>
      </c>
      <c r="I60">
        <v>5</v>
      </c>
      <c r="J60" t="s">
        <v>175</v>
      </c>
      <c r="K60">
        <f t="shared" si="0"/>
        <v>1231.1199999999999</v>
      </c>
    </row>
    <row r="61" spans="1:11" x14ac:dyDescent="0.3">
      <c r="A61" t="s">
        <v>72</v>
      </c>
      <c r="B61" t="s">
        <v>145</v>
      </c>
      <c r="C61" t="s">
        <v>159</v>
      </c>
      <c r="D61">
        <v>1674.6</v>
      </c>
      <c r="E61">
        <v>1</v>
      </c>
      <c r="F61" t="s">
        <v>164</v>
      </c>
      <c r="G61" s="2">
        <v>45499</v>
      </c>
      <c r="H61" t="s">
        <v>170</v>
      </c>
      <c r="I61">
        <f t="shared" ref="I61:I62" si="1">ROUND(AVERAGE(I43, I137), 0)</f>
        <v>4</v>
      </c>
      <c r="J61" t="s">
        <v>173</v>
      </c>
      <c r="K61">
        <f t="shared" si="0"/>
        <v>1674.6</v>
      </c>
    </row>
    <row r="62" spans="1:11" x14ac:dyDescent="0.3">
      <c r="A62" t="s">
        <v>73</v>
      </c>
      <c r="B62" t="s">
        <v>120</v>
      </c>
      <c r="C62" t="s">
        <v>161</v>
      </c>
      <c r="D62">
        <v>777.83</v>
      </c>
      <c r="E62">
        <v>1</v>
      </c>
      <c r="F62" t="s">
        <v>166</v>
      </c>
      <c r="G62" s="2">
        <v>45422</v>
      </c>
      <c r="H62" t="s">
        <v>170</v>
      </c>
      <c r="I62">
        <f t="shared" si="1"/>
        <v>4</v>
      </c>
      <c r="J62" t="s">
        <v>175</v>
      </c>
      <c r="K62">
        <f t="shared" si="0"/>
        <v>777.83</v>
      </c>
    </row>
    <row r="63" spans="1:11" x14ac:dyDescent="0.3">
      <c r="A63" t="s">
        <v>75</v>
      </c>
      <c r="B63" t="s">
        <v>115</v>
      </c>
      <c r="C63" t="s">
        <v>160</v>
      </c>
      <c r="D63">
        <v>1131.1199999999999</v>
      </c>
      <c r="E63">
        <v>2</v>
      </c>
      <c r="F63" t="s">
        <v>166</v>
      </c>
      <c r="G63" s="2">
        <v>45345</v>
      </c>
      <c r="H63" t="s">
        <v>168</v>
      </c>
      <c r="I63">
        <v>3</v>
      </c>
      <c r="J63" t="s">
        <v>174</v>
      </c>
      <c r="K63">
        <f t="shared" si="0"/>
        <v>2262.2399999999998</v>
      </c>
    </row>
    <row r="64" spans="1:11" x14ac:dyDescent="0.3">
      <c r="A64" t="s">
        <v>76</v>
      </c>
      <c r="B64" t="s">
        <v>149</v>
      </c>
      <c r="C64" t="s">
        <v>156</v>
      </c>
      <c r="D64">
        <v>367.76</v>
      </c>
      <c r="E64">
        <v>4</v>
      </c>
      <c r="F64" t="s">
        <v>165</v>
      </c>
      <c r="G64" s="2">
        <v>45411</v>
      </c>
      <c r="H64" t="s">
        <v>169</v>
      </c>
      <c r="I64">
        <v>5</v>
      </c>
      <c r="J64" t="s">
        <v>175</v>
      </c>
      <c r="K64">
        <f t="shared" si="0"/>
        <v>1471.04</v>
      </c>
    </row>
    <row r="65" spans="1:11" x14ac:dyDescent="0.3">
      <c r="A65" t="s">
        <v>77</v>
      </c>
      <c r="B65" t="s">
        <v>136</v>
      </c>
      <c r="C65" t="s">
        <v>157</v>
      </c>
      <c r="D65">
        <v>1624.17</v>
      </c>
      <c r="E65">
        <v>4</v>
      </c>
      <c r="F65" t="s">
        <v>164</v>
      </c>
      <c r="G65" s="2">
        <v>45452</v>
      </c>
      <c r="H65" t="s">
        <v>167</v>
      </c>
      <c r="I65">
        <v>4</v>
      </c>
      <c r="J65" t="s">
        <v>175</v>
      </c>
      <c r="K65">
        <f t="shared" si="0"/>
        <v>6496.68</v>
      </c>
    </row>
    <row r="66" spans="1:11" x14ac:dyDescent="0.3">
      <c r="A66" t="s">
        <v>78</v>
      </c>
      <c r="B66" t="s">
        <v>150</v>
      </c>
      <c r="C66" t="s">
        <v>159</v>
      </c>
      <c r="D66">
        <v>241.65</v>
      </c>
      <c r="E66">
        <v>3</v>
      </c>
      <c r="F66" t="s">
        <v>162</v>
      </c>
      <c r="G66" s="2">
        <v>45407</v>
      </c>
      <c r="H66" t="s">
        <v>172</v>
      </c>
      <c r="I66">
        <v>1</v>
      </c>
      <c r="J66" t="s">
        <v>176</v>
      </c>
      <c r="K66">
        <f t="shared" si="0"/>
        <v>724.95</v>
      </c>
    </row>
    <row r="67" spans="1:11" x14ac:dyDescent="0.3">
      <c r="A67" t="s">
        <v>79</v>
      </c>
      <c r="B67" t="s">
        <v>151</v>
      </c>
      <c r="C67" t="s">
        <v>156</v>
      </c>
      <c r="D67">
        <v>1975.09</v>
      </c>
      <c r="E67">
        <v>3</v>
      </c>
      <c r="F67" t="s">
        <v>166</v>
      </c>
      <c r="G67" s="2">
        <v>45366</v>
      </c>
      <c r="H67" t="s">
        <v>171</v>
      </c>
      <c r="I67">
        <v>2</v>
      </c>
      <c r="J67" t="s">
        <v>175</v>
      </c>
      <c r="K67">
        <f t="shared" ref="K67:K96" si="2">D67*E67</f>
        <v>5925.2699999999995</v>
      </c>
    </row>
    <row r="68" spans="1:11" x14ac:dyDescent="0.3">
      <c r="A68" t="s">
        <v>80</v>
      </c>
      <c r="B68" t="s">
        <v>152</v>
      </c>
      <c r="C68" t="s">
        <v>160</v>
      </c>
      <c r="D68">
        <v>1567.27</v>
      </c>
      <c r="E68">
        <v>2</v>
      </c>
      <c r="F68" t="s">
        <v>164</v>
      </c>
      <c r="G68" s="2">
        <v>45404</v>
      </c>
      <c r="H68" t="s">
        <v>168</v>
      </c>
      <c r="I68">
        <v>3</v>
      </c>
      <c r="J68" t="s">
        <v>175</v>
      </c>
      <c r="K68">
        <f t="shared" si="2"/>
        <v>3134.54</v>
      </c>
    </row>
    <row r="69" spans="1:11" x14ac:dyDescent="0.3">
      <c r="A69" t="s">
        <v>81</v>
      </c>
      <c r="B69" t="s">
        <v>153</v>
      </c>
      <c r="C69" t="s">
        <v>161</v>
      </c>
      <c r="D69">
        <v>477.56</v>
      </c>
      <c r="E69">
        <v>4</v>
      </c>
      <c r="F69" t="s">
        <v>163</v>
      </c>
      <c r="G69" s="2">
        <v>45395</v>
      </c>
      <c r="H69" t="s">
        <v>169</v>
      </c>
      <c r="I69">
        <v>5</v>
      </c>
      <c r="J69" t="s">
        <v>176</v>
      </c>
      <c r="K69">
        <f t="shared" si="2"/>
        <v>1910.24</v>
      </c>
    </row>
    <row r="70" spans="1:11" x14ac:dyDescent="0.3">
      <c r="A70" t="s">
        <v>82</v>
      </c>
      <c r="B70" t="s">
        <v>130</v>
      </c>
      <c r="C70" t="s">
        <v>158</v>
      </c>
      <c r="D70">
        <v>110.49</v>
      </c>
      <c r="E70">
        <v>4</v>
      </c>
      <c r="F70" t="s">
        <v>163</v>
      </c>
      <c r="G70" s="2">
        <v>45631</v>
      </c>
      <c r="H70" t="s">
        <v>168</v>
      </c>
      <c r="I70">
        <v>3</v>
      </c>
      <c r="J70" t="s">
        <v>174</v>
      </c>
      <c r="K70">
        <f t="shared" si="2"/>
        <v>441.96</v>
      </c>
    </row>
    <row r="71" spans="1:11" x14ac:dyDescent="0.3">
      <c r="A71" t="s">
        <v>83</v>
      </c>
      <c r="B71" t="s">
        <v>154</v>
      </c>
      <c r="C71" t="s">
        <v>161</v>
      </c>
      <c r="D71">
        <v>1649.38</v>
      </c>
      <c r="E71">
        <v>4</v>
      </c>
      <c r="F71" t="s">
        <v>163</v>
      </c>
      <c r="G71" s="2">
        <v>45545</v>
      </c>
      <c r="H71" t="s">
        <v>168</v>
      </c>
      <c r="I71">
        <v>5</v>
      </c>
      <c r="J71" t="s">
        <v>174</v>
      </c>
      <c r="K71">
        <f t="shared" si="2"/>
        <v>6597.52</v>
      </c>
    </row>
    <row r="72" spans="1:11" x14ac:dyDescent="0.3">
      <c r="A72" t="s">
        <v>84</v>
      </c>
      <c r="B72" t="s">
        <v>138</v>
      </c>
      <c r="C72" t="s">
        <v>161</v>
      </c>
      <c r="D72">
        <v>1443.03</v>
      </c>
      <c r="E72">
        <v>1</v>
      </c>
      <c r="F72" t="s">
        <v>164</v>
      </c>
      <c r="G72" s="2">
        <v>45518</v>
      </c>
      <c r="H72" t="s">
        <v>167</v>
      </c>
      <c r="I72">
        <v>2</v>
      </c>
      <c r="J72" t="s">
        <v>175</v>
      </c>
      <c r="K72">
        <f t="shared" si="2"/>
        <v>1443.03</v>
      </c>
    </row>
    <row r="73" spans="1:11" x14ac:dyDescent="0.3">
      <c r="A73" t="s">
        <v>85</v>
      </c>
      <c r="B73" t="s">
        <v>147</v>
      </c>
      <c r="C73" t="s">
        <v>156</v>
      </c>
      <c r="D73">
        <v>1485.11</v>
      </c>
      <c r="E73">
        <v>4</v>
      </c>
      <c r="F73" t="s">
        <v>166</v>
      </c>
      <c r="G73" s="2">
        <v>45403</v>
      </c>
      <c r="H73" t="s">
        <v>169</v>
      </c>
      <c r="I73">
        <v>2</v>
      </c>
      <c r="J73" t="s">
        <v>173</v>
      </c>
      <c r="K73">
        <f t="shared" si="2"/>
        <v>5940.44</v>
      </c>
    </row>
    <row r="74" spans="1:11" x14ac:dyDescent="0.3">
      <c r="A74" t="s">
        <v>86</v>
      </c>
      <c r="B74" t="s">
        <v>138</v>
      </c>
      <c r="C74" t="s">
        <v>157</v>
      </c>
      <c r="D74">
        <v>1565.41</v>
      </c>
      <c r="E74">
        <v>1</v>
      </c>
      <c r="F74" t="s">
        <v>177</v>
      </c>
      <c r="G74" s="2">
        <v>45390</v>
      </c>
      <c r="H74" t="s">
        <v>168</v>
      </c>
      <c r="I74">
        <v>1</v>
      </c>
      <c r="J74" t="s">
        <v>176</v>
      </c>
      <c r="K74">
        <f t="shared" si="2"/>
        <v>1565.41</v>
      </c>
    </row>
    <row r="75" spans="1:11" x14ac:dyDescent="0.3">
      <c r="A75" t="s">
        <v>87</v>
      </c>
      <c r="B75" t="s">
        <v>142</v>
      </c>
      <c r="C75" t="s">
        <v>159</v>
      </c>
      <c r="D75">
        <v>240.68</v>
      </c>
      <c r="E75">
        <v>2</v>
      </c>
      <c r="F75" t="s">
        <v>163</v>
      </c>
      <c r="G75" s="2">
        <v>45444</v>
      </c>
      <c r="H75" t="s">
        <v>170</v>
      </c>
      <c r="I75">
        <v>2</v>
      </c>
      <c r="J75" t="s">
        <v>176</v>
      </c>
      <c r="K75">
        <f t="shared" si="2"/>
        <v>481.36</v>
      </c>
    </row>
    <row r="76" spans="1:11" x14ac:dyDescent="0.3">
      <c r="A76" t="s">
        <v>88</v>
      </c>
      <c r="B76" t="s">
        <v>143</v>
      </c>
      <c r="C76" t="s">
        <v>159</v>
      </c>
      <c r="D76">
        <v>781.08</v>
      </c>
      <c r="E76">
        <v>1</v>
      </c>
      <c r="F76" t="s">
        <v>163</v>
      </c>
      <c r="G76" s="2">
        <v>45640</v>
      </c>
      <c r="H76" t="s">
        <v>167</v>
      </c>
      <c r="I76">
        <v>2</v>
      </c>
      <c r="J76" t="s">
        <v>175</v>
      </c>
      <c r="K76">
        <f t="shared" si="2"/>
        <v>781.08</v>
      </c>
    </row>
    <row r="77" spans="1:11" x14ac:dyDescent="0.3">
      <c r="A77" t="s">
        <v>89</v>
      </c>
      <c r="B77" t="s">
        <v>114</v>
      </c>
      <c r="C77" t="s">
        <v>157</v>
      </c>
      <c r="D77">
        <v>320.14999999999998</v>
      </c>
      <c r="E77">
        <v>2</v>
      </c>
      <c r="F77" t="s">
        <v>162</v>
      </c>
      <c r="G77" s="2">
        <v>45657</v>
      </c>
      <c r="H77" t="s">
        <v>170</v>
      </c>
      <c r="I77">
        <v>2</v>
      </c>
      <c r="J77" t="s">
        <v>175</v>
      </c>
      <c r="K77">
        <f t="shared" si="2"/>
        <v>640.29999999999995</v>
      </c>
    </row>
    <row r="78" spans="1:11" x14ac:dyDescent="0.3">
      <c r="A78" t="s">
        <v>90</v>
      </c>
      <c r="B78" t="s">
        <v>155</v>
      </c>
      <c r="C78" t="s">
        <v>157</v>
      </c>
      <c r="D78">
        <v>1739.9</v>
      </c>
      <c r="E78">
        <v>4</v>
      </c>
      <c r="F78" t="s">
        <v>177</v>
      </c>
      <c r="G78" s="2">
        <v>45629</v>
      </c>
      <c r="H78" t="s">
        <v>167</v>
      </c>
      <c r="I78">
        <v>5</v>
      </c>
      <c r="J78" t="s">
        <v>175</v>
      </c>
      <c r="K78">
        <f t="shared" si="2"/>
        <v>6959.6</v>
      </c>
    </row>
    <row r="79" spans="1:11" x14ac:dyDescent="0.3">
      <c r="A79" t="s">
        <v>91</v>
      </c>
      <c r="B79" t="s">
        <v>118</v>
      </c>
      <c r="C79" t="s">
        <v>158</v>
      </c>
      <c r="D79">
        <v>1284.27</v>
      </c>
      <c r="E79">
        <v>4</v>
      </c>
      <c r="F79" t="s">
        <v>163</v>
      </c>
      <c r="G79" s="2">
        <v>45485</v>
      </c>
      <c r="H79" t="s">
        <v>170</v>
      </c>
      <c r="I79">
        <v>5</v>
      </c>
      <c r="J79" t="s">
        <v>174</v>
      </c>
      <c r="K79">
        <f t="shared" si="2"/>
        <v>5137.08</v>
      </c>
    </row>
    <row r="80" spans="1:11" x14ac:dyDescent="0.3">
      <c r="A80" t="s">
        <v>92</v>
      </c>
      <c r="B80" t="s">
        <v>119</v>
      </c>
      <c r="C80" t="s">
        <v>159</v>
      </c>
      <c r="D80">
        <v>728.71</v>
      </c>
      <c r="E80">
        <v>2</v>
      </c>
      <c r="F80" t="s">
        <v>162</v>
      </c>
      <c r="G80" s="2">
        <v>45601</v>
      </c>
      <c r="H80" t="s">
        <v>167</v>
      </c>
      <c r="I80">
        <v>5</v>
      </c>
      <c r="J80" t="s">
        <v>174</v>
      </c>
      <c r="K80">
        <f t="shared" si="2"/>
        <v>1457.42</v>
      </c>
    </row>
    <row r="81" spans="1:11" x14ac:dyDescent="0.3">
      <c r="A81" t="s">
        <v>93</v>
      </c>
      <c r="B81" t="s">
        <v>131</v>
      </c>
      <c r="C81" t="s">
        <v>160</v>
      </c>
      <c r="D81">
        <v>220.76</v>
      </c>
      <c r="E81">
        <v>3</v>
      </c>
      <c r="F81" t="s">
        <v>166</v>
      </c>
      <c r="G81" s="2">
        <v>45454</v>
      </c>
      <c r="H81" t="s">
        <v>167</v>
      </c>
      <c r="I81">
        <v>3</v>
      </c>
      <c r="J81" t="s">
        <v>175</v>
      </c>
      <c r="K81">
        <f t="shared" si="2"/>
        <v>662.28</v>
      </c>
    </row>
    <row r="82" spans="1:11" x14ac:dyDescent="0.3">
      <c r="A82" t="s">
        <v>94</v>
      </c>
      <c r="B82" t="s">
        <v>134</v>
      </c>
      <c r="C82" t="s">
        <v>157</v>
      </c>
      <c r="D82">
        <v>690.87</v>
      </c>
      <c r="E82">
        <v>2</v>
      </c>
      <c r="F82" t="s">
        <v>162</v>
      </c>
      <c r="G82" s="2">
        <v>45499</v>
      </c>
      <c r="H82" t="s">
        <v>167</v>
      </c>
      <c r="I82">
        <v>1</v>
      </c>
      <c r="J82" t="s">
        <v>174</v>
      </c>
      <c r="K82">
        <f t="shared" si="2"/>
        <v>1381.74</v>
      </c>
    </row>
    <row r="83" spans="1:11" x14ac:dyDescent="0.3">
      <c r="A83" t="s">
        <v>95</v>
      </c>
      <c r="B83" t="s">
        <v>122</v>
      </c>
      <c r="C83" t="s">
        <v>159</v>
      </c>
      <c r="D83">
        <v>717.85</v>
      </c>
      <c r="E83">
        <v>3</v>
      </c>
      <c r="F83" t="s">
        <v>165</v>
      </c>
      <c r="G83" s="2">
        <v>45460</v>
      </c>
      <c r="H83" t="s">
        <v>172</v>
      </c>
      <c r="I83">
        <v>1</v>
      </c>
      <c r="J83" t="s">
        <v>175</v>
      </c>
      <c r="K83">
        <f t="shared" si="2"/>
        <v>2153.5500000000002</v>
      </c>
    </row>
    <row r="84" spans="1:11" x14ac:dyDescent="0.3">
      <c r="A84" t="s">
        <v>97</v>
      </c>
      <c r="B84" t="s">
        <v>136</v>
      </c>
      <c r="C84" t="s">
        <v>156</v>
      </c>
      <c r="D84">
        <v>1311.36</v>
      </c>
      <c r="E84">
        <v>1</v>
      </c>
      <c r="F84" t="s">
        <v>163</v>
      </c>
      <c r="G84" s="2">
        <v>45359</v>
      </c>
      <c r="H84" t="s">
        <v>171</v>
      </c>
      <c r="I84">
        <v>3</v>
      </c>
      <c r="J84" t="s">
        <v>175</v>
      </c>
      <c r="K84">
        <f t="shared" si="2"/>
        <v>1311.36</v>
      </c>
    </row>
    <row r="85" spans="1:11" x14ac:dyDescent="0.3">
      <c r="A85" t="s">
        <v>98</v>
      </c>
      <c r="B85" t="s">
        <v>124</v>
      </c>
      <c r="C85" t="s">
        <v>160</v>
      </c>
      <c r="D85">
        <v>1785.7</v>
      </c>
      <c r="E85">
        <v>1</v>
      </c>
      <c r="F85" t="s">
        <v>166</v>
      </c>
      <c r="G85" s="2">
        <v>45580</v>
      </c>
      <c r="H85" t="s">
        <v>171</v>
      </c>
      <c r="I85">
        <v>2</v>
      </c>
      <c r="J85" t="s">
        <v>175</v>
      </c>
      <c r="K85">
        <f t="shared" si="2"/>
        <v>1785.7</v>
      </c>
    </row>
    <row r="86" spans="1:11" x14ac:dyDescent="0.3">
      <c r="A86" t="s">
        <v>99</v>
      </c>
      <c r="B86" t="s">
        <v>118</v>
      </c>
      <c r="C86" t="s">
        <v>158</v>
      </c>
      <c r="D86">
        <v>997.21</v>
      </c>
      <c r="E86">
        <v>4</v>
      </c>
      <c r="F86" t="s">
        <v>165</v>
      </c>
      <c r="G86" s="2">
        <v>45568</v>
      </c>
      <c r="H86" t="s">
        <v>172</v>
      </c>
      <c r="I86">
        <v>5</v>
      </c>
      <c r="J86" t="s">
        <v>176</v>
      </c>
      <c r="K86">
        <f t="shared" si="2"/>
        <v>3988.84</v>
      </c>
    </row>
    <row r="87" spans="1:11" x14ac:dyDescent="0.3">
      <c r="A87" t="s">
        <v>100</v>
      </c>
      <c r="B87" t="s">
        <v>129</v>
      </c>
      <c r="C87" t="s">
        <v>159</v>
      </c>
      <c r="D87">
        <v>327.23</v>
      </c>
      <c r="E87">
        <v>1</v>
      </c>
      <c r="F87" t="s">
        <v>166</v>
      </c>
      <c r="G87" s="2">
        <v>45595</v>
      </c>
      <c r="H87" t="s">
        <v>168</v>
      </c>
      <c r="I87">
        <f>ROUND(AVERAGE(I69, I163), 0)</f>
        <v>5</v>
      </c>
      <c r="J87" t="s">
        <v>176</v>
      </c>
      <c r="K87">
        <f t="shared" si="2"/>
        <v>327.23</v>
      </c>
    </row>
    <row r="88" spans="1:11" x14ac:dyDescent="0.3">
      <c r="A88" t="s">
        <v>101</v>
      </c>
      <c r="B88" t="s">
        <v>152</v>
      </c>
      <c r="C88" t="s">
        <v>160</v>
      </c>
      <c r="D88">
        <v>1455.17</v>
      </c>
      <c r="E88">
        <v>3</v>
      </c>
      <c r="F88" t="s">
        <v>164</v>
      </c>
      <c r="G88" s="2">
        <v>45426</v>
      </c>
      <c r="H88" t="s">
        <v>168</v>
      </c>
      <c r="I88">
        <v>4</v>
      </c>
      <c r="J88" t="s">
        <v>174</v>
      </c>
      <c r="K88">
        <f t="shared" si="2"/>
        <v>4365.51</v>
      </c>
    </row>
    <row r="89" spans="1:11" x14ac:dyDescent="0.3">
      <c r="A89" t="s">
        <v>102</v>
      </c>
      <c r="B89" t="s">
        <v>135</v>
      </c>
      <c r="C89" t="s">
        <v>156</v>
      </c>
      <c r="D89">
        <v>1545.49</v>
      </c>
      <c r="E89">
        <v>1</v>
      </c>
      <c r="F89" t="s">
        <v>165</v>
      </c>
      <c r="G89" s="2">
        <v>45486</v>
      </c>
      <c r="H89" t="s">
        <v>167</v>
      </c>
      <c r="I89">
        <v>5</v>
      </c>
      <c r="J89" t="s">
        <v>173</v>
      </c>
      <c r="K89">
        <f t="shared" si="2"/>
        <v>1545.49</v>
      </c>
    </row>
    <row r="90" spans="1:11" x14ac:dyDescent="0.3">
      <c r="A90" t="s">
        <v>103</v>
      </c>
      <c r="B90" t="s">
        <v>132</v>
      </c>
      <c r="C90" t="s">
        <v>157</v>
      </c>
      <c r="D90">
        <v>1166.43</v>
      </c>
      <c r="E90">
        <v>2</v>
      </c>
      <c r="F90" t="s">
        <v>162</v>
      </c>
      <c r="G90" s="2">
        <v>45419</v>
      </c>
      <c r="H90" t="s">
        <v>171</v>
      </c>
      <c r="I90">
        <f>ROUND(AVERAGE(I72, I166), 0)</f>
        <v>2</v>
      </c>
      <c r="J90" t="s">
        <v>176</v>
      </c>
      <c r="K90">
        <f t="shared" si="2"/>
        <v>2332.86</v>
      </c>
    </row>
    <row r="91" spans="1:11" x14ac:dyDescent="0.3">
      <c r="A91" t="s">
        <v>104</v>
      </c>
      <c r="B91" t="s">
        <v>128</v>
      </c>
      <c r="C91" t="s">
        <v>157</v>
      </c>
      <c r="D91">
        <v>1564.84</v>
      </c>
      <c r="E91">
        <v>2</v>
      </c>
      <c r="F91" t="s">
        <v>166</v>
      </c>
      <c r="G91" s="2">
        <v>45324</v>
      </c>
      <c r="H91" t="s">
        <v>172</v>
      </c>
      <c r="I91">
        <v>2</v>
      </c>
      <c r="J91" t="s">
        <v>176</v>
      </c>
      <c r="K91">
        <f t="shared" si="2"/>
        <v>3129.68</v>
      </c>
    </row>
    <row r="92" spans="1:11" x14ac:dyDescent="0.3">
      <c r="A92" t="s">
        <v>105</v>
      </c>
      <c r="B92" t="s">
        <v>125</v>
      </c>
      <c r="C92" t="s">
        <v>160</v>
      </c>
      <c r="D92">
        <v>1038.21</v>
      </c>
      <c r="E92">
        <v>4</v>
      </c>
      <c r="F92" t="s">
        <v>163</v>
      </c>
      <c r="G92" s="2">
        <v>45467</v>
      </c>
      <c r="H92" t="s">
        <v>172</v>
      </c>
      <c r="I92">
        <v>2</v>
      </c>
      <c r="J92" t="s">
        <v>173</v>
      </c>
      <c r="K92">
        <f t="shared" si="2"/>
        <v>4152.84</v>
      </c>
    </row>
    <row r="93" spans="1:11" x14ac:dyDescent="0.3">
      <c r="A93" t="s">
        <v>106</v>
      </c>
      <c r="B93" t="s">
        <v>151</v>
      </c>
      <c r="C93" t="s">
        <v>161</v>
      </c>
      <c r="D93">
        <v>1093.19</v>
      </c>
      <c r="E93">
        <v>2</v>
      </c>
      <c r="F93" t="s">
        <v>163</v>
      </c>
      <c r="G93" s="2">
        <v>45313</v>
      </c>
      <c r="H93" t="s">
        <v>172</v>
      </c>
      <c r="I93">
        <v>1</v>
      </c>
      <c r="J93" t="s">
        <v>175</v>
      </c>
      <c r="K93">
        <f t="shared" si="2"/>
        <v>2186.38</v>
      </c>
    </row>
    <row r="94" spans="1:11" x14ac:dyDescent="0.3">
      <c r="A94" t="s">
        <v>107</v>
      </c>
      <c r="B94" t="s">
        <v>118</v>
      </c>
      <c r="C94" t="s">
        <v>160</v>
      </c>
      <c r="D94">
        <v>912.33</v>
      </c>
      <c r="E94">
        <v>3</v>
      </c>
      <c r="F94" t="s">
        <v>162</v>
      </c>
      <c r="G94" s="2">
        <v>45529</v>
      </c>
      <c r="H94" t="s">
        <v>168</v>
      </c>
      <c r="I94">
        <v>1</v>
      </c>
      <c r="J94" t="s">
        <v>173</v>
      </c>
      <c r="K94">
        <f t="shared" si="2"/>
        <v>2736.9900000000002</v>
      </c>
    </row>
    <row r="95" spans="1:11" x14ac:dyDescent="0.3">
      <c r="A95" t="s">
        <v>108</v>
      </c>
      <c r="B95" t="s">
        <v>154</v>
      </c>
      <c r="C95" t="s">
        <v>158</v>
      </c>
      <c r="D95">
        <v>148.30000000000001</v>
      </c>
      <c r="E95">
        <v>1</v>
      </c>
      <c r="F95" t="s">
        <v>162</v>
      </c>
      <c r="G95" s="2">
        <v>45449</v>
      </c>
      <c r="H95" t="s">
        <v>167</v>
      </c>
      <c r="I95">
        <v>1</v>
      </c>
      <c r="J95" t="s">
        <v>176</v>
      </c>
      <c r="K95">
        <f t="shared" si="2"/>
        <v>148.30000000000001</v>
      </c>
    </row>
    <row r="96" spans="1:11" x14ac:dyDescent="0.3">
      <c r="A96" t="s">
        <v>109</v>
      </c>
      <c r="B96" t="s">
        <v>145</v>
      </c>
      <c r="C96" t="s">
        <v>161</v>
      </c>
      <c r="D96">
        <v>304.99</v>
      </c>
      <c r="E96">
        <v>4</v>
      </c>
      <c r="F96" t="s">
        <v>166</v>
      </c>
      <c r="G96" s="2">
        <v>45329</v>
      </c>
      <c r="H96" t="s">
        <v>171</v>
      </c>
      <c r="I96">
        <v>4</v>
      </c>
      <c r="J96" t="s">
        <v>173</v>
      </c>
      <c r="K96">
        <f t="shared" si="2"/>
        <v>1219.96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zoomScaleNormal="100" workbookViewId="0">
      <selection activeCell="A13" sqref="A13"/>
    </sheetView>
  </sheetViews>
  <sheetFormatPr defaultRowHeight="14.4" x14ac:dyDescent="0.3"/>
  <cols>
    <col min="1" max="1" width="12.5546875" customWidth="1"/>
    <col min="2" max="2" width="17" customWidth="1"/>
    <col min="3" max="3" width="12.5546875" customWidth="1"/>
    <col min="4" max="4" width="17" customWidth="1"/>
    <col min="5" max="5" width="14.5546875" bestFit="1" customWidth="1"/>
    <col min="6" max="6" width="16.44140625" bestFit="1" customWidth="1"/>
    <col min="7" max="7" width="12.5546875" bestFit="1" customWidth="1"/>
    <col min="8" max="8" width="16.44140625" bestFit="1" customWidth="1"/>
    <col min="9" max="9" width="12.5546875" customWidth="1"/>
    <col min="10" max="10" width="17" bestFit="1" customWidth="1"/>
  </cols>
  <sheetData>
    <row r="1" spans="1:18" x14ac:dyDescent="0.3">
      <c r="A1" t="s">
        <v>179</v>
      </c>
      <c r="B1" t="s">
        <v>182</v>
      </c>
      <c r="C1" t="s">
        <v>183</v>
      </c>
      <c r="D1" t="s">
        <v>185</v>
      </c>
      <c r="E1" t="s">
        <v>184</v>
      </c>
      <c r="R1" t="s">
        <v>204</v>
      </c>
    </row>
    <row r="2" spans="1:18" x14ac:dyDescent="0.3">
      <c r="A2" s="5">
        <v>230793.13999999987</v>
      </c>
      <c r="B2" s="4">
        <v>95</v>
      </c>
      <c r="C2" s="4">
        <v>236</v>
      </c>
      <c r="D2" s="8">
        <v>291</v>
      </c>
      <c r="E2" s="9">
        <f>GETPIVOTDATA("Total_Sales",$A$1) / GETPIVOTDATA("Order_ID",$B$1)</f>
        <v>2429.4014736842091</v>
      </c>
      <c r="R2" t="s">
        <v>201</v>
      </c>
    </row>
    <row r="3" spans="1:18" x14ac:dyDescent="0.3">
      <c r="A3" s="6" t="s">
        <v>180</v>
      </c>
      <c r="B3" t="s">
        <v>179</v>
      </c>
      <c r="C3" s="6" t="s">
        <v>180</v>
      </c>
      <c r="D3" t="s">
        <v>179</v>
      </c>
      <c r="E3" s="6" t="s">
        <v>180</v>
      </c>
      <c r="F3" t="s">
        <v>182</v>
      </c>
      <c r="G3" s="6" t="s">
        <v>180</v>
      </c>
      <c r="H3" t="s">
        <v>182</v>
      </c>
      <c r="I3" s="6" t="s">
        <v>180</v>
      </c>
      <c r="J3" t="s">
        <v>179</v>
      </c>
      <c r="R3" t="s">
        <v>202</v>
      </c>
    </row>
    <row r="4" spans="1:18" x14ac:dyDescent="0.3">
      <c r="A4" s="7" t="s">
        <v>156</v>
      </c>
      <c r="B4" s="12">
        <v>49918.03</v>
      </c>
      <c r="C4" s="7" t="s">
        <v>169</v>
      </c>
      <c r="D4" s="12">
        <v>26617.430000000004</v>
      </c>
      <c r="E4" s="7" t="s">
        <v>163</v>
      </c>
      <c r="F4" s="4">
        <v>25</v>
      </c>
      <c r="G4" s="7" t="s">
        <v>176</v>
      </c>
      <c r="H4" s="4">
        <v>20</v>
      </c>
      <c r="I4" s="7" t="s">
        <v>186</v>
      </c>
      <c r="J4" s="12"/>
      <c r="R4" t="s">
        <v>203</v>
      </c>
    </row>
    <row r="5" spans="1:18" x14ac:dyDescent="0.3">
      <c r="A5" s="7" t="s">
        <v>160</v>
      </c>
      <c r="B5" s="12">
        <v>47140.93</v>
      </c>
      <c r="C5" s="7" t="s">
        <v>167</v>
      </c>
      <c r="D5" s="12">
        <v>39659.289999999994</v>
      </c>
      <c r="E5" s="7" t="s">
        <v>166</v>
      </c>
      <c r="F5" s="4">
        <v>21</v>
      </c>
      <c r="G5" s="7" t="s">
        <v>173</v>
      </c>
      <c r="H5" s="4">
        <v>24</v>
      </c>
      <c r="I5" s="10" t="s">
        <v>187</v>
      </c>
      <c r="J5" s="12">
        <v>4703.87</v>
      </c>
    </row>
    <row r="6" spans="1:18" x14ac:dyDescent="0.3">
      <c r="A6" s="7" t="s">
        <v>161</v>
      </c>
      <c r="B6" s="12">
        <v>44022.079999999994</v>
      </c>
      <c r="C6" s="7" t="s">
        <v>170</v>
      </c>
      <c r="D6" s="12">
        <v>34532.49</v>
      </c>
      <c r="E6" s="7" t="s">
        <v>164</v>
      </c>
      <c r="F6" s="4">
        <v>14</v>
      </c>
      <c r="G6" s="7" t="s">
        <v>174</v>
      </c>
      <c r="H6" s="4">
        <v>25</v>
      </c>
      <c r="I6" s="10" t="s">
        <v>188</v>
      </c>
      <c r="J6" s="12">
        <v>17859.59</v>
      </c>
    </row>
    <row r="7" spans="1:18" x14ac:dyDescent="0.3">
      <c r="A7" s="7" t="s">
        <v>157</v>
      </c>
      <c r="B7" s="12">
        <v>43388.479999999996</v>
      </c>
      <c r="C7" s="7" t="s">
        <v>168</v>
      </c>
      <c r="D7" s="12">
        <v>43354.87</v>
      </c>
      <c r="E7" s="7" t="s">
        <v>177</v>
      </c>
      <c r="F7" s="4">
        <v>5</v>
      </c>
      <c r="G7" s="7" t="s">
        <v>175</v>
      </c>
      <c r="H7" s="4">
        <v>26</v>
      </c>
      <c r="I7" s="10" t="s">
        <v>189</v>
      </c>
      <c r="J7" s="12">
        <v>7236.6299999999992</v>
      </c>
    </row>
    <row r="8" spans="1:18" x14ac:dyDescent="0.3">
      <c r="A8" s="7" t="s">
        <v>158</v>
      </c>
      <c r="B8" s="12">
        <v>25997.9</v>
      </c>
      <c r="C8" s="7" t="s">
        <v>172</v>
      </c>
      <c r="D8" s="12">
        <v>38486.879999999997</v>
      </c>
      <c r="E8" s="7" t="s">
        <v>165</v>
      </c>
      <c r="F8" s="4">
        <v>13</v>
      </c>
      <c r="G8" s="7" t="s">
        <v>181</v>
      </c>
      <c r="H8" s="4">
        <v>95</v>
      </c>
      <c r="I8" s="10" t="s">
        <v>190</v>
      </c>
      <c r="J8" s="12">
        <v>22221.870000000003</v>
      </c>
    </row>
    <row r="9" spans="1:18" x14ac:dyDescent="0.3">
      <c r="A9" s="7" t="s">
        <v>159</v>
      </c>
      <c r="B9" s="12">
        <v>20325.72</v>
      </c>
      <c r="C9" s="7" t="s">
        <v>171</v>
      </c>
      <c r="D9" s="12">
        <v>48142.179999999993</v>
      </c>
      <c r="E9" s="7" t="s">
        <v>162</v>
      </c>
      <c r="F9" s="4">
        <v>17</v>
      </c>
      <c r="I9" s="10" t="s">
        <v>191</v>
      </c>
      <c r="J9" s="12">
        <v>37227.470000000008</v>
      </c>
    </row>
    <row r="10" spans="1:18" x14ac:dyDescent="0.3">
      <c r="A10" s="7" t="s">
        <v>181</v>
      </c>
      <c r="B10" s="12">
        <v>230793.13999999998</v>
      </c>
      <c r="C10" s="7" t="s">
        <v>181</v>
      </c>
      <c r="D10" s="12">
        <v>230793.13999999998</v>
      </c>
      <c r="E10" s="7" t="s">
        <v>181</v>
      </c>
      <c r="F10" s="4">
        <v>95</v>
      </c>
      <c r="I10" s="10" t="s">
        <v>192</v>
      </c>
      <c r="J10" s="12">
        <v>17326.63</v>
      </c>
    </row>
    <row r="11" spans="1:18" x14ac:dyDescent="0.3">
      <c r="I11" s="10" t="s">
        <v>193</v>
      </c>
      <c r="J11" s="12">
        <v>37632.449999999997</v>
      </c>
    </row>
    <row r="12" spans="1:18" x14ac:dyDescent="0.3">
      <c r="I12" s="10" t="s">
        <v>194</v>
      </c>
      <c r="J12" s="12">
        <v>9715.0399999999991</v>
      </c>
    </row>
    <row r="13" spans="1:18" x14ac:dyDescent="0.3">
      <c r="I13" s="10" t="s">
        <v>195</v>
      </c>
      <c r="J13" s="12">
        <v>21078.7</v>
      </c>
    </row>
    <row r="14" spans="1:18" x14ac:dyDescent="0.3">
      <c r="I14" s="10" t="s">
        <v>196</v>
      </c>
      <c r="J14" s="12">
        <v>18485.68</v>
      </c>
    </row>
    <row r="15" spans="1:18" x14ac:dyDescent="0.3">
      <c r="I15" s="10" t="s">
        <v>197</v>
      </c>
      <c r="J15" s="12">
        <v>8798.66</v>
      </c>
    </row>
    <row r="16" spans="1:18" x14ac:dyDescent="0.3">
      <c r="I16" s="10" t="s">
        <v>198</v>
      </c>
      <c r="J16" s="12">
        <v>28506.550000000003</v>
      </c>
    </row>
    <row r="17" spans="9:10" x14ac:dyDescent="0.3">
      <c r="I17" s="7" t="s">
        <v>181</v>
      </c>
      <c r="J17" s="12">
        <v>230793.14</v>
      </c>
    </row>
  </sheetData>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showGridLines="0" showRowColHeaders="0" tabSelected="1" workbookViewId="0">
      <selection activeCell="R33" sqref="R33"/>
    </sheetView>
  </sheetViews>
  <sheetFormatPr defaultRowHeight="14.4" x14ac:dyDescent="0.3"/>
  <cols>
    <col min="1" max="1" width="13.33203125" customWidth="1"/>
    <col min="2" max="2" width="12.77734375" customWidth="1"/>
    <col min="3" max="3" width="11.33203125" customWidth="1"/>
    <col min="4" max="4" width="14.33203125" customWidth="1"/>
  </cols>
  <sheetData>
    <row r="1" spans="1:4" x14ac:dyDescent="0.3">
      <c r="D1" t="s">
        <v>200</v>
      </c>
    </row>
    <row r="2" spans="1:4" x14ac:dyDescent="0.3">
      <c r="A2" s="5"/>
      <c r="C2" s="9"/>
    </row>
    <row r="37" spans="19:19" ht="172.8" x14ac:dyDescent="0.3">
      <c r="S37" s="11" t="s">
        <v>199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Analysis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Kaushik Upadhyay</cp:lastModifiedBy>
  <dcterms:created xsi:type="dcterms:W3CDTF">2025-10-09T03:47:03Z</dcterms:created>
  <dcterms:modified xsi:type="dcterms:W3CDTF">2026-01-04T20:30:50Z</dcterms:modified>
</cp:coreProperties>
</file>